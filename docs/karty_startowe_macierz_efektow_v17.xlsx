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2296168ee94c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cierz efektów" sheetId="1" r:id="R671a27ac4c034320"/>
    <x:sheet xmlns:r="http://schemas.openxmlformats.org/officeDocument/2006/relationships" name="Katalog kart" sheetId="2" r:id="R7da2deca6e444a0d"/>
    <x:sheet xmlns:r="http://schemas.openxmlformats.org/officeDocument/2006/relationships" name="Legenda" sheetId="3" r:id="Rbe1034631fdd43c7"/>
    <x:sheet xmlns:r="http://schemas.openxmlformats.org/officeDocument/2006/relationships" name="Aukcje — płatne" sheetId="4" r:id="Re9c1a32577fe412b"/>
    <x:sheet xmlns:r="http://schemas.openxmlformats.org/officeDocument/2006/relationships" name="Balans — metoda" sheetId="5" r:id="Rab5056a0c7ea433e"/>
    <x:sheet xmlns:r="http://schemas.openxmlformats.org/officeDocument/2006/relationships" name="Balans — karty" sheetId="6" r:id="R64b1242b4c004d49"/>
    <x:sheet xmlns:r="http://schemas.openxmlformats.org/officeDocument/2006/relationships" name="Wzorce frakcji" sheetId="7" r:id="R0ace2c9c40f344d6"/>
    <x:sheet xmlns:r="http://schemas.openxmlformats.org/officeDocument/2006/relationships" name="Aukcje — kierunki" sheetId="8" r:id="Rda5fbbb84ff34c33"/>
    <x:sheet xmlns:r="http://schemas.openxmlformats.org/officeDocument/2006/relationships" name="Skalowanie na ręce" sheetId="9" r:id="R72ff48d97f594a9a"/>
    <x:sheet xmlns:r="http://schemas.openxmlformats.org/officeDocument/2006/relationships" name="Premie cech" sheetId="10" r:id="Rc0f650c484c44a91"/>
    <x:sheet xmlns:r="http://schemas.openxmlformats.org/officeDocument/2006/relationships" name="Balans — VP3" sheetId="11" r:id="Ra61d627b96ce4a42"/>
    <x:sheet xmlns:r="http://schemas.openxmlformats.org/officeDocument/2006/relationships" name="Frakcje — styl" sheetId="12" r:id="Ra41938f6649045bf"/>
    <x:sheet xmlns:r="http://schemas.openxmlformats.org/officeDocument/2006/relationships" name="Archiwum — 5 nadmiarowych" sheetId="13" r:id="R39d6575baa66471f"/>
    <x:sheet xmlns:r="http://schemas.openxmlformats.org/officeDocument/2006/relationships" name="Balans — suma V0 V3" sheetId="14" r:id="R6ca5dc2bd88d4d72"/>
    <x:sheet xmlns:r="http://schemas.openxmlformats.org/officeDocument/2006/relationships" name="Kalibracja — parametry" sheetId="15" r:id="R72811de4cba04770"/>
    <x:sheet xmlns:r="http://schemas.openxmlformats.org/officeDocument/2006/relationships" name="Kalibracja — 70 kart" sheetId="16" r:id="R0a918f3737a5414a"/>
    <x:sheet xmlns:r="http://schemas.openxmlformats.org/officeDocument/2006/relationships" name="Kalibracja — diagnoza" sheetId="17" r:id="Rb15b02e958dd46be"/>
    <x:sheet xmlns:r="http://schemas.openxmlformats.org/officeDocument/2006/relationships" name="Balans V13 — 70 kart" sheetId="18" r:id="Rb2c40d1506d24367"/>
    <x:sheet xmlns:r="http://schemas.openxmlformats.org/officeDocument/2006/relationships" name="Parametry V13" sheetId="19" r:id="R5212d0108a4e4d4b"/>
    <x:sheet xmlns:r="http://schemas.openxmlformats.org/officeDocument/2006/relationships" name="Zasady zmienione v13" sheetId="20" r:id="R03572126418b42bb"/>
    <x:sheet xmlns:r="http://schemas.openxmlformats.org/officeDocument/2006/relationships" name="Symulacje — metodyka" sheetId="21" r:id="Rc276a38117424ef8"/>
    <x:sheet xmlns:r="http://schemas.openxmlformats.org/officeDocument/2006/relationships" name="REGULY v14 - AKTUALNE" sheetId="22" r:id="R8a9cea12f26948cf"/>
    <x:sheet xmlns:r="http://schemas.openxmlformats.org/officeDocument/2006/relationships" name="ZASADY v15" sheetId="23" r:id="R253eb6194b1d4155"/>
    <x:sheet xmlns:r="http://schemas.openxmlformats.org/officeDocument/2006/relationships" name="ZASADY v16" sheetId="24" r:id="R91b3c75ad3fc4f46"/>
    <x:sheet xmlns:r="http://schemas.openxmlformats.org/officeDocument/2006/relationships" name="ZASADY v17" sheetId="25" r:id="Rb05d7461e74b48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"/>
    <x:numFmt numFmtId="202" formatCode="0.0%"/>
    <x:numFmt numFmtId="203" formatCode="0%"/>
  </x:numFmts>
  <x:fonts count="30">
    <x:font>
      <x:sz val="11"/>
      <x:name val="Carlito"/>
    </x:font>
    <x:font>
      <x:b/>
      <x:sz val="17"/>
      <x:color rgb="FFFFFFFF"/>
      <x:name val="Carlito"/>
    </x:font>
    <x:font>
      <x:sz val="10"/>
      <x:color rgb="FF52657A"/>
      <x:name val="Carlito"/>
    </x:font>
    <x:font>
      <x:sz val="10"/>
      <x:color rgb="FF825414"/>
      <x:name val="Carlito"/>
    </x:font>
    <x:font>
      <x:b/>
      <x:sz val="10"/>
      <x:color rgb="FFFFFFFF"/>
      <x:name val="Carlito"/>
    </x:font>
    <x:font>
      <x:b/>
      <x:sz val="11"/>
      <x:color rgb="FF13243A"/>
      <x:name val="Carlito"/>
    </x:font>
    <x:font>
      <x:sz val="9"/>
      <x:color rgb="FF13243A"/>
      <x:name val="Carlito"/>
    </x:font>
    <x:font>
      <x:b/>
      <x:sz val="10"/>
      <x:color rgb="FF13243A"/>
      <x:name val="Carlito"/>
    </x:font>
    <x:font>
      <x:sz val="10"/>
      <x:color rgb="FF13243A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i/>
      <x:sz val="11"/>
      <x:color rgb="FF294C68"/>
      <x:name val="Carlito"/>
    </x:font>
    <x:font>
      <x:b/>
      <x:sz val="11"/>
      <x:color rgb="FF9B5200"/>
      <x:name val="Carlito"/>
    </x:font>
    <x:font>
      <x:b/>
      <x:sz val="11"/>
      <x:color rgb="FF20435B"/>
      <x:name val="Carlito"/>
    </x:font>
    <x:font>
      <x:sz val="11"/>
      <x:color rgb="FF34516E"/>
      <x:name val="Carlito"/>
    </x:font>
    <x:font>
      <x:b/>
      <x:sz val="18"/>
      <x:color rgb="FFFFFFFF"/>
      <x:name val="Carlito"/>
    </x:font>
    <x:font>
      <x:sz val="10"/>
      <x:color rgb="FF28415C"/>
      <x:name val="Carlito"/>
    </x:font>
    <x:font>
      <x:b/>
      <x:sz val="11"/>
      <x:color rgb="FF263C57"/>
      <x:name val="Carlito"/>
    </x:font>
    <x:font>
      <x:sz val="11"/>
      <x:color rgb="FF52677C"/>
      <x:name val="Carlito"/>
    </x:font>
    <x:font>
      <x:sz val="10"/>
      <x:color rgb="FF8C5814"/>
      <x:name val="Carlito"/>
    </x:font>
    <x:font>
      <x:b/>
      <x:sz val="11"/>
      <x:color rgb="FF193B5B"/>
      <x:name val="Carlito"/>
    </x:font>
    <x:font>
      <x:b/>
      <x:sz val="11"/>
      <x:name val="Carlito"/>
    </x:font>
    <x:font>
      <x:sz val="11"/>
      <x:color rgb="FF28415C"/>
      <x:name val="Carlito"/>
    </x:font>
    <x:font>
      <x:b/>
      <x:sz val="16"/>
      <x:color rgb="FFFFFFFF"/>
      <x:name val="Carlito"/>
    </x:font>
    <x:font>
      <x:sz val="11"/>
      <x:color rgb="FF123456"/>
      <x:name val="Carlito"/>
    </x:font>
    <x:font>
      <x:b/>
      <x:sz val="11"/>
      <x:color rgb="FF334155"/>
      <x:name val="Carlito"/>
    </x:font>
    <x:font>
      <x:b/>
      <x:sz val="11"/>
      <x:color rgb="FF704500"/>
      <x:name val="Carlito"/>
    </x:font>
    <x:font>
      <x:sz val="11"/>
      <x:color rgb="FF475569"/>
      <x:name val="Carlito"/>
    </x:font>
    <x:font>
      <x:sz val="11"/>
      <x:color rgb="FF334155"/>
      <x:name val="Carlito"/>
    </x:font>
    <x:font>
      <x:b/>
      <x:sz val="15"/>
      <x:color rgb="FFFFFFFF"/>
      <x:name val="Carlito"/>
    </x:font>
  </x:fonts>
  <x:fills count="60">
    <x:fill>
      <x:patternFill patternType="none"/>
    </x:fill>
    <x:fill>
      <x:patternFill patternType="gray125"/>
    </x:fill>
    <x:fill>
      <x:patternFill patternType="solid">
        <x:fgColor rgb="FF13243A"/>
      </x:patternFill>
    </x:fill>
    <x:fill>
      <x:patternFill patternType="solid">
        <x:fgColor rgb="FFEAF2F7"/>
      </x:patternFill>
    </x:fill>
    <x:fill>
      <x:patternFill patternType="solid">
        <x:fgColor rgb="FFFFF0CF"/>
      </x:patternFill>
    </x:fill>
    <x:fill>
      <x:patternFill patternType="solid">
        <x:fgColor rgb="FFF3F7FA"/>
      </x:patternFill>
    </x:fill>
    <x:fill>
      <x:patternFill patternType="solid">
        <x:fgColor rgb="FF24558A"/>
      </x:patternFill>
    </x:fill>
    <x:fill>
      <x:patternFill patternType="solid">
        <x:fgColor rgb="FFFFFFFF"/>
      </x:patternFill>
    </x:fill>
    <x:fill>
      <x:patternFill patternType="solid">
        <x:fgColor rgb="FFFFF8E8"/>
      </x:patternFill>
    </x:fill>
    <x:fill>
      <x:patternFill patternType="solid">
        <x:fgColor rgb="FFF4F8FC"/>
      </x:patternFill>
    </x:fill>
    <x:fill>
      <x:patternFill patternType="solid">
        <x:fgColor rgb="FF12304B"/>
      </x:patternFill>
    </x:fill>
    <x:fill>
      <x:patternFill patternType="solid">
        <x:fgColor rgb="FFEAF2FA"/>
      </x:patternFill>
    </x:fill>
    <x:fill>
      <x:patternFill patternType="solid">
        <x:fgColor rgb="FF1D4964"/>
      </x:patternFill>
    </x:fill>
    <x:fill>
      <x:patternFill patternType="solid">
        <x:fgColor rgb="FFFFF1CD"/>
      </x:patternFill>
    </x:fill>
    <x:fill>
      <x:patternFill patternType="solid">
        <x:fgColor rgb="FFE6F2F9"/>
      </x:patternFill>
    </x:fill>
    <x:fill>
      <x:patternFill patternType="solid">
        <x:fgColor rgb="FFFFF8EB"/>
      </x:patternFill>
    </x:fill>
    <x:fill>
      <x:patternFill patternType="solid">
        <x:fgColor rgb="FF132A46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193B5B"/>
      </x:patternFill>
    </x:fill>
    <x:fill>
      <x:patternFill patternType="solid">
        <x:fgColor rgb="FFFFF5D9"/>
      </x:patternFill>
    </x:fill>
    <x:fill>
      <x:patternFill patternType="solid">
        <x:fgColor rgb="FFE5F1FF"/>
      </x:patternFill>
    </x:fill>
    <x:fill>
      <x:patternFill patternType="solid">
        <x:fgColor rgb="FFECF8EC"/>
      </x:patternFill>
    </x:fill>
    <x:fill>
      <x:patternFill patternType="solid">
        <x:fgColor rgb="FFFFF6E7"/>
      </x:patternFill>
    </x:fill>
    <x:fill>
      <x:patternFill patternType="solid">
        <x:fgColor rgb="FFDCE9F5"/>
      </x:patternFill>
    </x:fill>
    <x:fill>
      <x:patternFill patternType="solid">
        <x:fgColor rgb="FFFFF2CC"/>
      </x:patternFill>
    </x:fill>
    <x:fill>
      <x:patternFill patternType="solid">
        <x:fgColor rgb="FF173A58"/>
      </x:patternFill>
    </x:fill>
    <x:fill>
      <x:patternFill patternType="solid">
        <x:fgColor rgb="FFEAF2FF"/>
      </x:patternFill>
    </x:fill>
    <x:fill>
      <x:patternFill patternType="solid">
        <x:fgColor rgb="FF163057"/>
      </x:patternFill>
    </x:fill>
    <x:fill>
      <x:patternFill patternType="solid">
        <x:fgColor rgb="FF2671A7"/>
      </x:patternFill>
    </x:fill>
    <x:fill>
      <x:patternFill patternType="solid">
        <x:fgColor rgb="FFE1F1FA"/>
      </x:patternFill>
    </x:fill>
    <x:fill>
      <x:patternFill patternType="solid">
        <x:fgColor rgb="FFFFF3D6"/>
      </x:patternFill>
    </x:fill>
    <x:fill>
      <x:patternFill patternType="solid">
        <x:fgColor rgb="FF11253D"/>
      </x:patternFill>
    </x:fill>
    <x:fill>
      <x:patternFill patternType="solid">
        <x:fgColor rgb="FFE6F1FF"/>
      </x:patternFill>
    </x:fill>
    <x:fill>
      <x:patternFill patternType="solid">
        <x:fgColor rgb="FFF1F5F9"/>
      </x:patternFill>
    </x:fill>
    <x:fill>
      <x:patternFill patternType="solid">
        <x:fgColor rgb="FFDCE9F3"/>
      </x:patternFill>
    </x:fill>
    <x:fill>
      <x:patternFill patternType="solid">
        <x:fgColor rgb="FFFFF1CB"/>
      </x:patternFill>
    </x:fill>
    <x:fill>
      <x:patternFill patternType="solid">
        <x:fgColor rgb="FFE2E8F0"/>
      </x:patternFill>
    </x:fill>
    <x:fill>
      <x:patternFill patternType="solid">
        <x:fgColor rgb="FF047857"/>
      </x:patternFill>
    </x:fill>
    <x:fill>
      <x:patternFill patternType="solid">
        <x:fgColor rgb="FF183453"/>
      </x:patternFill>
    </x:fill>
    <x:fill>
      <x:patternFill patternType="solid">
        <x:fgColor rgb="FF1A5276"/>
      </x:patternFill>
    </x:fill>
    <x:fill>
      <x:patternFill patternType="solid">
        <x:fgColor rgb="FF122448"/>
      </x:patternFill>
    </x:fill>
    <x:fill>
      <x:patternFill patternType="solid">
        <x:fgColor rgb="FF233D70"/>
      </x:patternFill>
    </x:fill>
    <x:fill>
      <x:patternFill patternType="solid">
        <x:fgColor rgb="FFF2F9FC"/>
      </x:patternFill>
    </x:fill>
    <x:fill>
      <x:patternFill patternType="solid">
        <x:fgColor rgb="FFFFF2DB"/>
      </x:patternFill>
    </x:fill>
    <x:fill>
      <x:patternFill patternType="solid">
        <x:fgColor rgb="FFEDF7F9"/>
      </x:patternFill>
    </x:fill>
    <x:fill>
      <x:patternFill patternType="solid">
        <x:fgColor rgb="FFEAF3F5"/>
      </x:patternFill>
    </x:fill>
    <x:fill>
      <x:patternFill patternType="solid">
        <x:fgColor rgb="FF17294C"/>
      </x:patternFill>
    </x:fill>
    <x:fill>
      <x:patternFill patternType="solid">
        <x:fgColor rgb="FF254571"/>
      </x:patternFill>
    </x:fill>
    <x:fill>
      <x:patternFill patternType="solid">
        <x:fgColor rgb="FF8E3F28"/>
      </x:patternFill>
    </x:fill>
    <x:fill>
      <x:patternFill patternType="solid">
        <x:fgColor rgb="FFE8F3F2"/>
      </x:patternFill>
    </x:fill>
    <x:fill>
      <x:patternFill patternType="solid">
        <x:fgColor rgb="FFEAF4F3"/>
      </x:patternFill>
    </x:fill>
    <x:fill>
      <x:patternFill patternType="solid">
        <x:fgColor rgb="FF10274F"/>
      </x:patternFill>
    </x:fill>
    <x:fill>
      <x:patternFill patternType="solid">
        <x:fgColor rgb="FF223F72"/>
      </x:patternFill>
    </x:fill>
    <x:fill>
      <x:patternFill patternType="solid">
        <x:fgColor rgb="FF142440"/>
      </x:patternFill>
    </x:fill>
    <x:fill>
      <x:patternFill patternType="solid">
        <x:fgColor rgb="FF284A73"/>
      </x:patternFill>
    </x:fill>
    <x:fill>
      <x:patternFill patternType="solid">
        <x:fgColor rgb="FF102C4E"/>
      </x:patternFill>
    </x:fill>
    <x:fill>
      <x:patternFill patternType="solid">
        <x:fgColor rgb="FF244B75"/>
      </x:patternFill>
    </x:fill>
    <x:fill>
      <x:patternFill patternType="solid">
        <x:fgColor rgb="FF152A42"/>
      </x:patternFill>
    </x:fill>
    <x:fill>
      <x:patternFill patternType="solid">
        <x:fgColor rgb="FF234F70"/>
      </x:patternFill>
    </x:fill>
  </x:fills>
  <x:borders count="2">
    <x:border/>
    <x:border/>
  </x:borders>
  <x:cellStyleXfs count="1">
    <x:xf numFmtId="0" fontId="0" fillId="0" borderId="0"/>
  </x:cellStyleXfs>
  <x:cellXfs count="2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/>
    <x:xf numFmtId="0" fontId="7" fillId="3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center" wrapText="1"/>
    </x:xf>
    <x:xf numFmtId="0" fontId="8" fillId="8" borderId="0" xfId="0" applyNumberFormat="1" applyFont="1" applyFill="1" applyBorder="1" applyAlignment="1">
      <x:alignment vertical="center"/>
    </x:xf>
    <x:xf numFmtId="0" fontId="8" fillId="8" borderId="0" xfId="0" applyNumberFormat="1" applyFont="1" applyFill="1" applyBorder="1" applyAlignment="1">
      <x:alignment vertical="center" wrapText="1"/>
    </x:xf>
    <x:xf numFmtId="0" fontId="8" fillId="8" borderId="1" xfId="0" applyNumberFormat="1" applyFont="1" applyFill="1" applyBorder="1" applyAlignment="1">
      <x:alignment vertical="center"/>
    </x:xf>
    <x:xf numFmtId="0" fontId="8" fillId="8" borderId="1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horizontal="center" vertical="center"/>
    </x:xf>
    <x:xf numFmtId="0" fontId="8" fillId="0" borderId="1" xfId="0" applyNumberFormat="1" applyFont="1" applyFill="1" applyBorder="1" applyAlignment="1">
      <x:alignment horizontal="center" vertical="center"/>
    </x:xf>
    <x:xf numFmtId="0" fontId="6" fillId="9" borderId="0" xfId="0" applyNumberFormat="1" applyFont="1" applyFill="1" applyBorder="1" applyAlignment="1">
      <x:alignment vertical="top" wrapText="1"/>
    </x:xf>
    <x:xf numFmtId="0" fontId="6" fillId="9" borderId="1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0" xfId="0" applyNumberFormat="1" applyFont="1" applyFill="1" applyBorder="1" applyAlignment="1">
      <x:alignment horizontal="center"/>
    </x:xf>
    <x:xf numFmtId="0" fontId="9" fillId="10" borderId="0" xfId="0" applyNumberFormat="1" applyFont="1" applyFill="1" applyBorder="1" applyAlignment="1">
      <x:alignment horizontal="center" vertical="center"/>
    </x:xf>
    <x:xf numFmtId="0" fontId="10" fillId="10" borderId="0" xfId="0" applyNumberFormat="1" applyFont="1" applyFill="1" applyBorder="1"/>
    <x:xf numFmtId="0" fontId="10" fillId="10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11" fillId="11" borderId="0" xfId="0" applyNumberFormat="1" applyFont="1" applyFill="1" applyBorder="1"/>
    <x:xf numFmtId="0" fontId="11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0" fillId="13" borderId="0" xfId="0" applyNumberFormat="1" applyFont="1" applyFill="1" applyBorder="1"/>
    <x:xf numFmtId="0" fontId="12" fillId="13" borderId="0" xfId="0" applyNumberFormat="1" applyFont="1" applyFill="1" applyBorder="1"/>
    <x:xf numFmtId="0" fontId="0" fillId="14" borderId="0" xfId="0" applyNumberFormat="1" applyFont="1" applyFill="1" applyBorder="1"/>
    <x:xf numFmtId="0" fontId="12" fillId="11" borderId="0" xfId="0" applyNumberFormat="1" applyFont="1" applyFill="1" applyBorder="1"/>
    <x:xf numFmtId="0" fontId="13" fillId="11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2" fillId="13" borderId="0" xfId="0" applyNumberFormat="1" applyFont="1" applyFill="1" applyBorder="1" applyAlignment="1">
      <x:alignment wrapText="1"/>
    </x:xf>
    <x:xf numFmtId="0" fontId="9" fillId="12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 applyAlignment="1">
      <x:alignment wrapText="1"/>
    </x:xf>
    <x:xf numFmtId="0" fontId="13" fillId="11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 applyAlignment="1">
      <x:alignment vertical="center" wrapText="1"/>
    </x:xf>
    <x:xf numFmtId="0" fontId="14" fillId="11" borderId="0" xfId="0" applyNumberFormat="1" applyFont="1" applyFill="1" applyBorder="1"/>
    <x:xf numFmtId="0" fontId="14" fillId="11" borderId="0" xfId="0" applyNumberFormat="1" applyFont="1" applyFill="1" applyBorder="1" applyAlignment="1">
      <x:alignment wrapText="1"/>
    </x:xf>
    <x:xf numFmtId="0" fontId="9" fillId="12" borderId="0" xfId="0" applyNumberFormat="1" applyFont="1" applyFill="1" applyBorder="1" applyAlignment="1">
      <x:alignment horizontal="center" wrapText="1"/>
    </x:xf>
    <x:xf numFmtId="0" fontId="9" fillId="12" borderId="0" xfId="0" applyNumberFormat="1" applyFont="1" applyFill="1" applyBorder="1" applyAlignment="1">
      <x:alignment horizontal="center" vertical="center" wrapText="1"/>
    </x:xf>
    <x:xf numFmtId="200" fontId="0" fillId="11" borderId="0" xfId="0" applyNumberFormat="1" applyFont="1" applyFill="1" applyBorder="1"/>
    <x:xf numFmtId="0" fontId="0" fillId="16" borderId="0" xfId="0" applyNumberFormat="1" applyFont="1" applyFill="1" applyBorder="1"/>
    <x:xf numFmtId="0" fontId="15" fillId="16" borderId="0" xfId="0" applyNumberFormat="1" applyFont="1" applyFill="1" applyBorder="1"/>
    <x:xf numFmtId="0" fontId="15" fillId="16" borderId="0" xfId="0" applyNumberFormat="1" applyFont="1" applyFill="1" applyBorder="1" applyAlignment="1">
      <x:alignment vertical="center"/>
    </x:xf>
    <x:xf numFmtId="0" fontId="0" fillId="17" borderId="0" xfId="0" applyNumberFormat="1" applyFont="1" applyFill="1" applyBorder="1"/>
    <x:xf numFmtId="0" fontId="16" fillId="17" borderId="0" xfId="0" applyNumberFormat="1" applyFont="1" applyFill="1" applyBorder="1"/>
    <x:xf numFmtId="0" fontId="16" fillId="17" borderId="0" xfId="0" applyNumberFormat="1" applyFont="1" applyFill="1" applyBorder="1" applyAlignment="1">
      <x:alignment wrapText="1"/>
    </x:xf>
    <x:xf numFmtId="0" fontId="0" fillId="18" borderId="0" xfId="0" applyNumberFormat="1" applyFont="1" applyFill="1" applyBorder="1"/>
    <x:xf numFmtId="0" fontId="17" fillId="18" borderId="0" xfId="0" applyNumberFormat="1" applyFont="1" applyFill="1" applyBorder="1"/>
    <x:xf numFmtId="0" fontId="17" fillId="18" borderId="0" xfId="0" applyNumberFormat="1" applyFont="1" applyFill="1" applyBorder="1" applyAlignment="1">
      <x:alignment horizontal="center"/>
    </x:xf>
    <x:xf numFmtId="0" fontId="0" fillId="19" borderId="0" xfId="0" applyNumberFormat="1" applyFont="1" applyFill="1" applyBorder="1"/>
    <x:xf numFmtId="0" fontId="9" fillId="19" borderId="0" xfId="0" applyNumberFormat="1" applyFont="1" applyFill="1" applyBorder="1"/>
    <x:xf numFmtId="0" fontId="9" fillId="19" borderId="0" xfId="0" applyNumberFormat="1" applyFont="1" applyFill="1" applyBorder="1" applyAlignment="1">
      <x:alignment wrapText="1"/>
    </x:xf>
    <x:xf numFmtId="0" fontId="9" fillId="19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20" borderId="0" xfId="0" applyNumberFormat="1" applyFont="1" applyFill="1" applyBorder="1" applyAlignment="1">
      <x:alignment horizontal="center" wrapText="1"/>
    </x:xf>
    <x:xf numFmtId="0" fontId="0" fillId="21" borderId="0" xfId="0" applyNumberFormat="1" applyFont="1" applyFill="1" applyBorder="1" applyAlignment="1">
      <x:alignment wrapText="1"/>
    </x:xf>
    <x:xf numFmtId="200" fontId="0" fillId="21" borderId="0" xfId="0" applyNumberFormat="1" applyFont="1" applyFill="1" applyBorder="1" applyAlignment="1">
      <x:alignment wrapText="1"/>
    </x:xf>
    <x:xf numFmtId="0" fontId="0" fillId="22" borderId="0" xfId="0" applyNumberFormat="1" applyFont="1" applyFill="1" applyBorder="1" applyAlignment="1">
      <x:alignment wrapText="1"/>
    </x:xf>
    <x:xf numFmtId="0" fontId="18" fillId="0" borderId="0" xfId="0" applyNumberFormat="1" applyFont="1" applyFill="1" applyBorder="1" applyAlignment="1">
      <x:alignment wrapText="1"/>
    </x:xf>
    <x:xf numFmtId="0" fontId="0" fillId="23" borderId="0" xfId="0" applyNumberFormat="1" applyFont="1" applyFill="1" applyBorder="1"/>
    <x:xf numFmtId="0" fontId="19" fillId="23" borderId="0" xfId="0" applyNumberFormat="1" applyFont="1" applyFill="1" applyBorder="1"/>
    <x:xf numFmtId="0" fontId="19" fillId="23" borderId="0" xfId="0" applyNumberFormat="1" applyFont="1" applyFill="1" applyBorder="1" applyAlignment="1">
      <x:alignment wrapText="1"/>
    </x:xf>
    <x:xf numFmtId="0" fontId="0" fillId="24" borderId="0" xfId="0" applyNumberFormat="1" applyFont="1" applyFill="1" applyBorder="1"/>
    <x:xf numFmtId="0" fontId="20" fillId="24" borderId="0" xfId="0" applyNumberFormat="1" applyFont="1" applyFill="1" applyBorder="1"/>
    <x:xf numFmtId="0" fontId="20" fillId="2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/>
    </x:xf>
    <x:xf numFmtId="0" fontId="0" fillId="21" borderId="0" xfId="0" applyNumberFormat="1" applyFont="1" applyFill="1" applyBorder="1" applyAlignment="1">
      <x:alignment horizontal="center"/>
    </x:xf>
    <x:xf numFmtId="0" fontId="21" fillId="24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20" fillId="17" borderId="0" xfId="0" applyNumberFormat="1" applyFont="1" applyFill="1" applyBorder="1"/>
    <x:xf numFmtId="0" fontId="20" fillId="17" borderId="0" xfId="0" applyNumberFormat="1" applyFont="1" applyFill="1" applyBorder="1" applyAlignment="1">
      <x:alignment wrapText="1"/>
    </x:xf>
    <x:xf numFmtId="0" fontId="1" fillId="16" borderId="0" xfId="0" applyNumberFormat="1" applyFont="1" applyFill="1" applyBorder="1"/>
    <x:xf numFmtId="0" fontId="1" fillId="16" borderId="0" xfId="0" applyNumberFormat="1" applyFont="1" applyFill="1" applyBorder="1" applyAlignment="1">
      <x:alignment vertical="center"/>
    </x:xf>
    <x:xf numFmtId="0" fontId="22" fillId="17" borderId="0" xfId="0" applyNumberFormat="1" applyFont="1" applyFill="1" applyBorder="1"/>
    <x:xf numFmtId="0" fontId="22" fillId="17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20" fillId="0" borderId="0" xfId="0" applyNumberFormat="1" applyFont="1" applyFill="1" applyBorder="1"/>
    <x:xf numFmtId="0" fontId="12" fillId="25" borderId="0" xfId="0" applyNumberFormat="1" applyFont="1" applyFill="1" applyBorder="1" applyAlignment="1">
      <x:alignment wrapText="1"/>
    </x:xf>
    <x:xf numFmtId="0" fontId="0" fillId="26" borderId="0" xfId="0" applyNumberFormat="1" applyFont="1" applyFill="1" applyBorder="1"/>
    <x:xf numFmtId="0" fontId="9" fillId="26" borderId="0" xfId="0" applyNumberFormat="1" applyFont="1" applyFill="1" applyBorder="1"/>
    <x:xf numFmtId="0" fontId="9" fillId="26" borderId="0" xfId="0" applyNumberFormat="1" applyFont="1" applyFill="1" applyBorder="1" applyAlignment="1">
      <x:alignment wrapText="1"/>
    </x:xf>
    <x:xf numFmtId="0" fontId="0" fillId="25" borderId="0" xfId="0" applyNumberFormat="1" applyFont="1" applyFill="1" applyBorder="1"/>
    <x:xf numFmtId="0" fontId="9" fillId="26" borderId="0" xfId="0" applyNumberFormat="1" applyFont="1" applyFill="1" applyBorder="1" applyAlignment="1">
      <x:alignment horizontal="center" vertical="center" wrapText="1"/>
    </x:xf>
    <x:xf numFmtId="0" fontId="0" fillId="27" borderId="0" xfId="0" applyNumberFormat="1" applyFont="1" applyFill="1" applyBorder="1"/>
    <x:xf numFmtId="0" fontId="0" fillId="25" borderId="0" xfId="0" applyNumberFormat="1" applyFont="1" applyFill="1" applyBorder="1" applyAlignment="1">
      <x:alignment wrapText="1"/>
    </x:xf>
    <x:xf numFmtId="0" fontId="12" fillId="18" borderId="0" xfId="0" applyNumberFormat="1" applyFont="1" applyFill="1" applyBorder="1" applyAlignment="1">
      <x:alignment wrapText="1"/>
    </x:xf>
    <x:xf numFmtId="0" fontId="0" fillId="18" borderId="0" xfId="0" applyNumberFormat="1" applyFont="1" applyFill="1" applyBorder="1" applyAlignment="1">
      <x:alignment wrapText="1"/>
    </x:xf>
    <x:xf numFmtId="0" fontId="0" fillId="28" borderId="0" xfId="0" applyNumberFormat="1" applyFont="1" applyFill="1" applyBorder="1"/>
    <x:xf numFmtId="0" fontId="23" fillId="28" borderId="0" xfId="0" applyNumberFormat="1" applyFont="1" applyFill="1" applyBorder="1"/>
    <x:xf numFmtId="0" fontId="23" fillId="28" borderId="0" xfId="0" applyNumberFormat="1" applyFont="1" applyFill="1" applyBorder="1" applyAlignment="1">
      <x:alignment vertical="center"/>
    </x:xf>
    <x:xf numFmtId="0" fontId="0" fillId="29" borderId="0" xfId="0" applyNumberFormat="1" applyFont="1" applyFill="1" applyBorder="1"/>
    <x:xf numFmtId="0" fontId="9" fillId="29" borderId="0" xfId="0" applyNumberFormat="1" applyFont="1" applyFill="1" applyBorder="1"/>
    <x:xf numFmtId="0" fontId="0" fillId="30" borderId="0" xfId="0" applyNumberFormat="1" applyFont="1" applyFill="1" applyBorder="1" applyAlignment="1">
      <x:alignment wrapText="1"/>
    </x:xf>
    <x:xf numFmtId="0" fontId="0" fillId="31" borderId="0" xfId="0" applyNumberFormat="1" applyFont="1" applyFill="1" applyBorder="1"/>
    <x:xf numFmtId="0" fontId="9" fillId="29" borderId="0" xfId="0" applyNumberFormat="1" applyFont="1" applyFill="1" applyBorder="1" applyAlignment="1">
      <x:alignment wrapText="1"/>
    </x:xf>
    <x:xf numFmtId="0" fontId="0" fillId="30" borderId="0" xfId="0" applyNumberFormat="1" applyFont="1" applyFill="1" applyBorder="1"/>
    <x:xf numFmtId="0" fontId="0" fillId="32" borderId="0" xfId="0" applyNumberFormat="1" applyFont="1" applyFill="1" applyBorder="1"/>
    <x:xf numFmtId="0" fontId="10" fillId="32" borderId="0" xfId="0" applyNumberFormat="1" applyFont="1" applyFill="1" applyBorder="1"/>
    <x:xf numFmtId="0" fontId="0" fillId="33" borderId="0" xfId="0" applyNumberFormat="1" applyFont="1" applyFill="1" applyBorder="1"/>
    <x:xf numFmtId="0" fontId="24" fillId="33" borderId="0" xfId="0" applyNumberFormat="1" applyFont="1" applyFill="1" applyBorder="1"/>
    <x:xf numFmtId="0" fontId="0" fillId="34" borderId="0" xfId="0" applyNumberFormat="1" applyFont="1" applyFill="1" applyBorder="1"/>
    <x:xf numFmtId="0" fontId="25" fillId="34" borderId="0" xfId="0" applyNumberFormat="1" applyFont="1" applyFill="1" applyBorder="1"/>
    <x:xf numFmtId="0" fontId="0" fillId="35" borderId="0" xfId="0" applyNumberFormat="1" applyFont="1" applyFill="1" applyBorder="1"/>
    <x:xf numFmtId="0" fontId="21" fillId="35" borderId="0" xfId="0" applyNumberFormat="1" applyFont="1" applyFill="1" applyBorder="1"/>
    <x:xf numFmtId="0" fontId="0" fillId="36" borderId="0" xfId="0" applyNumberFormat="1" applyFont="1" applyFill="1" applyBorder="1"/>
    <x:xf numFmtId="0" fontId="26" fillId="36" borderId="0" xfId="0" applyNumberFormat="1" applyFont="1" applyFill="1" applyBorder="1"/>
    <x:xf numFmtId="200" fontId="26" fillId="36" borderId="0" xfId="0" applyNumberFormat="1" applyFont="1" applyFill="1" applyBorder="1"/>
    <x:xf numFmtId="201" fontId="26" fillId="36" borderId="0" xfId="0" applyNumberFormat="1" applyFont="1" applyFill="1" applyBorder="1"/>
    <x:xf numFmtId="0" fontId="9" fillId="32" borderId="0" xfId="0" applyNumberFormat="1" applyFont="1" applyFill="1" applyBorder="1"/>
    <x:xf numFmtId="0" fontId="0" fillId="37" borderId="0" xfId="0" applyNumberFormat="1" applyFont="1" applyFill="1" applyBorder="1"/>
    <x:xf numFmtId="0" fontId="21" fillId="37" borderId="0" xfId="0" applyNumberFormat="1" applyFont="1" applyFill="1" applyBorder="1"/>
    <x:xf numFmtId="0" fontId="27" fillId="0" borderId="0" xfId="0" applyNumberFormat="1" applyFont="1" applyFill="1" applyBorder="1"/>
    <x:xf numFmtId="0" fontId="0" fillId="38" borderId="0" xfId="0" applyNumberFormat="1" applyFont="1" applyFill="1" applyBorder="1"/>
    <x:xf numFmtId="0" fontId="9" fillId="38" borderId="0" xfId="0" applyNumberFormat="1" applyFont="1" applyFill="1" applyBorder="1"/>
    <x:xf numFmtId="0" fontId="9" fillId="3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28" fillId="34" borderId="0" xfId="0" applyNumberFormat="1" applyFont="1" applyFill="1" applyBorder="1"/>
    <x:xf numFmtId="0" fontId="0" fillId="39" borderId="0" xfId="0" applyNumberFormat="1" applyFont="1" applyFill="1" applyBorder="1"/>
    <x:xf numFmtId="0" fontId="29" fillId="39" borderId="0" xfId="0" applyNumberFormat="1" applyFont="1" applyFill="1" applyBorder="1"/>
    <x:xf numFmtId="0" fontId="9" fillId="39" borderId="0" xfId="0" applyNumberFormat="1" applyFont="1" applyFill="1" applyBorder="1"/>
    <x:xf numFmtId="0" fontId="9" fillId="39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0" fontId="0" fillId="40" borderId="0" xfId="0" applyNumberFormat="1" applyFont="1" applyFill="1" applyBorder="1"/>
    <x:xf numFmtId="0" fontId="9" fillId="40" borderId="0" xfId="0" applyNumberFormat="1" applyFont="1" applyFill="1" applyBorder="1"/>
    <x:xf numFmtId="0" fontId="9" fillId="40" borderId="0" xfId="0" applyNumberFormat="1" applyFont="1" applyFill="1" applyBorder="1" applyAlignment="1">
      <x:alignment wrapText="1"/>
    </x:xf>
    <x:xf numFmtId="0" fontId="0" fillId="41" borderId="0" xfId="0" applyNumberFormat="1" applyFont="1" applyFill="1" applyBorder="1"/>
    <x:xf numFmtId="0" fontId="29" fillId="41" borderId="0" xfId="0" applyNumberFormat="1" applyFont="1" applyFill="1" applyBorder="1"/>
    <x:xf numFmtId="0" fontId="29" fillId="41" borderId="0" xfId="0" applyNumberFormat="1" applyFont="1" applyFill="1" applyBorder="1" applyAlignment="1">
      <x:alignment vertical="center"/>
    </x:xf>
    <x:xf numFmtId="0" fontId="0" fillId="42" borderId="0" xfId="0" applyNumberFormat="1" applyFont="1" applyFill="1" applyBorder="1"/>
    <x:xf numFmtId="0" fontId="9" fillId="42" borderId="0" xfId="0" applyNumberFormat="1" applyFont="1" applyFill="1" applyBorder="1"/>
    <x:xf numFmtId="0" fontId="9" fillId="42" borderId="0" xfId="0" applyNumberFormat="1" applyFont="1" applyFill="1" applyBorder="1" applyAlignment="1">
      <x:alignment wrapText="1"/>
    </x:xf>
    <x:xf numFmtId="0" fontId="9" fillId="4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43" borderId="0" xfId="0" applyNumberFormat="1" applyFont="1" applyFill="1" applyBorder="1" applyAlignment="1">
      <x:alignment wrapText="1"/>
    </x:xf>
    <x:xf numFmtId="0" fontId="0" fillId="43" borderId="0" xfId="0" applyNumberFormat="1" applyFont="1" applyFill="1" applyBorder="1"/>
    <x:xf numFmtId="200" fontId="0" fillId="43" borderId="0" xfId="0" applyNumberFormat="1" applyFont="1" applyFill="1" applyBorder="1"/>
    <x:xf numFmtId="203" fontId="0" fillId="43" borderId="0" xfId="0" applyNumberFormat="1" applyFont="1" applyFill="1" applyBorder="1"/>
    <x:xf numFmtId="0" fontId="0" fillId="44" borderId="0" xfId="0" applyNumberFormat="1" applyFont="1" applyFill="1" applyBorder="1"/>
    <x:xf numFmtId="0" fontId="0" fillId="45" borderId="0" xfId="0" applyNumberFormat="1" applyFont="1" applyFill="1" applyBorder="1"/>
    <x:xf numFmtId="200" fontId="0" fillId="45" borderId="0" xfId="0" applyNumberFormat="1" applyFont="1" applyFill="1" applyBorder="1"/>
    <x:xf numFmtId="200" fontId="0" fillId="44" borderId="0" xfId="0" applyNumberFormat="1" applyFont="1" applyFill="1" applyBorder="1"/>
    <x:xf numFmtId="201" fontId="0" fillId="44" borderId="0" xfId="0" applyNumberFormat="1" applyFont="1" applyFill="1" applyBorder="1"/>
    <x:xf numFmtId="0" fontId="0" fillId="46" borderId="0" xfId="0" applyNumberFormat="1" applyFont="1" applyFill="1" applyBorder="1"/>
    <x:xf numFmtId="202" fontId="0" fillId="46" borderId="0" xfId="0" applyNumberFormat="1" applyFont="1" applyFill="1" applyBorder="1"/>
    <x:xf numFmtId="200" fontId="0" fillId="46" borderId="0" xfId="0" applyNumberFormat="1" applyFont="1" applyFill="1" applyBorder="1"/>
    <x:xf numFmtId="0" fontId="0" fillId="47" borderId="0" xfId="0" applyNumberFormat="1" applyFont="1" applyFill="1" applyBorder="1"/>
    <x:xf numFmtId="0" fontId="10" fillId="47" borderId="0" xfId="0" applyNumberFormat="1" applyFont="1" applyFill="1" applyBorder="1"/>
    <x:xf numFmtId="0" fontId="10" fillId="47" borderId="0" xfId="0" applyNumberFormat="1" applyFont="1" applyFill="1" applyBorder="1" applyAlignment="1">
      <x:alignment vertical="center"/>
    </x:xf>
    <x:xf numFmtId="0" fontId="0" fillId="48" borderId="0" xfId="0" applyNumberFormat="1" applyFont="1" applyFill="1" applyBorder="1"/>
    <x:xf numFmtId="0" fontId="9" fillId="48" borderId="0" xfId="0" applyNumberFormat="1" applyFont="1" applyFill="1" applyBorder="1"/>
    <x:xf numFmtId="0" fontId="9" fillId="48" borderId="0" xfId="0" applyNumberFormat="1" applyFont="1" applyFill="1" applyBorder="1" applyAlignment="1">
      <x:alignment wrapText="1"/>
    </x:xf>
    <x:xf numFmtId="0" fontId="9" fillId="48" borderId="0" xfId="0" applyNumberFormat="1" applyFont="1" applyFill="1" applyBorder="1" applyAlignment="1">
      <x:alignment vertical="center" wrapText="1"/>
    </x:xf>
    <x:xf numFmtId="0" fontId="9" fillId="49" borderId="0" xfId="0" applyNumberFormat="1" applyFont="1" applyFill="1" applyBorder="1" applyAlignment="1">
      <x:alignment vertical="center" wrapText="1"/>
    </x:xf>
    <x:xf numFmtId="0" fontId="0" fillId="50" borderId="0" xfId="0" applyNumberFormat="1" applyFont="1" applyFill="1" applyBorder="1"/>
    <x:xf numFmtId="0" fontId="8" fillId="51" borderId="0" xfId="0" applyNumberFormat="1" applyFont="1" applyFill="1" applyBorder="1" applyAlignment="1">
      <x:alignment horizontal="center" vertical="center"/>
    </x:xf>
    <x:xf numFmtId="0" fontId="0" fillId="52" borderId="0" xfId="0" applyNumberFormat="1" applyFont="1" applyFill="1" applyBorder="1"/>
    <x:xf numFmtId="0" fontId="23" fillId="52" borderId="0" xfId="0" applyNumberFormat="1" applyFont="1" applyFill="1" applyBorder="1"/>
    <x:xf numFmtId="0" fontId="0" fillId="53" borderId="0" xfId="0" applyNumberFormat="1" applyFont="1" applyFill="1" applyBorder="1"/>
    <x:xf numFmtId="0" fontId="9" fillId="53" borderId="0" xfId="0" applyNumberFormat="1" applyFont="1" applyFill="1" applyBorder="1"/>
    <x:xf numFmtId="0" fontId="0" fillId="54" borderId="0" xfId="0" applyNumberFormat="1" applyFont="1" applyFill="1" applyBorder="1"/>
    <x:xf numFmtId="0" fontId="29" fillId="54" borderId="0" xfId="0" applyNumberFormat="1" applyFont="1" applyFill="1" applyBorder="1"/>
    <x:xf numFmtId="0" fontId="29" fillId="54" borderId="0" xfId="0" applyNumberFormat="1" applyFont="1" applyFill="1" applyBorder="1" applyAlignment="1">
      <x:alignment vertical="center"/>
    </x:xf>
    <x:xf numFmtId="0" fontId="0" fillId="55" borderId="0" xfId="0" applyNumberFormat="1" applyFont="1" applyFill="1" applyBorder="1"/>
    <x:xf numFmtId="0" fontId="9" fillId="55" borderId="0" xfId="0" applyNumberFormat="1" applyFont="1" applyFill="1" applyBorder="1"/>
    <x:xf numFmtId="0" fontId="0" fillId="56" borderId="0" xfId="0" applyNumberFormat="1" applyFont="1" applyFill="1" applyBorder="1"/>
    <x:xf numFmtId="0" fontId="23" fillId="56" borderId="0" xfId="0" applyNumberFormat="1" applyFont="1" applyFill="1" applyBorder="1"/>
    <x:xf numFmtId="0" fontId="0" fillId="57" borderId="0" xfId="0" applyNumberFormat="1" applyFont="1" applyFill="1" applyBorder="1"/>
    <x:xf numFmtId="0" fontId="9" fillId="57" borderId="0" xfId="0" applyNumberFormat="1" applyFont="1" applyFill="1" applyBorder="1"/>
    <x:xf numFmtId="0" fontId="0" fillId="58" borderId="0" xfId="0" applyNumberFormat="1" applyFont="1" applyFill="1" applyBorder="1"/>
    <x:xf numFmtId="0" fontId="23" fillId="58" borderId="0" xfId="0" applyNumberFormat="1" applyFont="1" applyFill="1" applyBorder="1"/>
    <x:xf numFmtId="0" fontId="0" fillId="59" borderId="0" xfId="0" applyNumberFormat="1" applyFont="1" applyFill="1" applyBorder="1"/>
    <x:xf numFmtId="0" fontId="9" fillId="59" borderId="0" xfId="0" applyNumberFormat="1" applyFont="1" applyFill="1" applyBorder="1"/>
  </x:cellXfs>
  <x:cellStyles count="1">
    <x:cellStyle name="Normal" xfId="0"/>
  </x:cellStyles>
  <x:dxfs count="3">
    <x:dxf>
      <x:font>
        <x:color rgb="FF137145"/>
      </x:font>
      <x:fill>
        <x:patternFill>
          <x:bgColor rgb="FFDCF5E6"/>
        </x:patternFill>
      </x:fill>
    </x:dxf>
    <x:dxf>
      <x:font>
        <x:color rgb="FF9B5514"/>
      </x:font>
      <x:fill>
        <x:patternFill>
          <x:bgColor rgb="FFFFF0D6"/>
        </x:patternFill>
      </x:fill>
    </x:dxf>
    <x:dxf>
      <x:fill>
        <x:patternFill>
          <x:bgColor rgb="FFDDF2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3edf7f4d7f4ccb" /><Relationship Type="http://schemas.openxmlformats.org/officeDocument/2006/relationships/theme" Target="/xl/theme/theme1.xml" Id="Rc6cbfeb91ec94eb9" /><Relationship Type="http://schemas.openxmlformats.org/officeDocument/2006/relationships/sharedStrings" Target="/xl/sharedStrings.xml" Id="R1f8a30d5512a4386" /><Relationship Type="http://schemas.openxmlformats.org/officeDocument/2006/relationships/worksheet" Target="/xl/worksheets/sheet1.xml" Id="R671a27ac4c034320" /><Relationship Type="http://schemas.openxmlformats.org/officeDocument/2006/relationships/worksheet" Target="/xl/worksheets/sheet2.xml" Id="R7da2deca6e444a0d" /><Relationship Type="http://schemas.openxmlformats.org/officeDocument/2006/relationships/worksheet" Target="/xl/worksheets/sheet3.xml" Id="Rbe1034631fdd43c7" /><Relationship Type="http://schemas.openxmlformats.org/officeDocument/2006/relationships/worksheet" Target="/xl/worksheets/sheet4.xml" Id="Re9c1a32577fe412b" /><Relationship Type="http://schemas.openxmlformats.org/officeDocument/2006/relationships/worksheet" Target="/xl/worksheets/sheet5.xml" Id="Rab5056a0c7ea433e" /><Relationship Type="http://schemas.openxmlformats.org/officeDocument/2006/relationships/worksheet" Target="/xl/worksheets/sheet6.xml" Id="R64b1242b4c004d49" /><Relationship Type="http://schemas.openxmlformats.org/officeDocument/2006/relationships/worksheet" Target="/xl/worksheets/sheet7.xml" Id="R0ace2c9c40f344d6" /><Relationship Type="http://schemas.openxmlformats.org/officeDocument/2006/relationships/worksheet" Target="/xl/worksheets/sheet8.xml" Id="Rda5fbbb84ff34c33" /><Relationship Type="http://schemas.openxmlformats.org/officeDocument/2006/relationships/worksheet" Target="/xl/worksheets/sheet9.xml" Id="R72ff48d97f594a9a" /><Relationship Type="http://schemas.openxmlformats.org/officeDocument/2006/relationships/worksheet" Target="/xl/worksheets/sheet10.xml" Id="Rc0f650c484c44a91" /><Relationship Type="http://schemas.openxmlformats.org/officeDocument/2006/relationships/worksheet" Target="/xl/worksheets/sheet11.xml" Id="Ra61d627b96ce4a42" /><Relationship Type="http://schemas.openxmlformats.org/officeDocument/2006/relationships/worksheet" Target="/xl/worksheets/sheet12.xml" Id="Ra41938f6649045bf" /><Relationship Type="http://schemas.openxmlformats.org/officeDocument/2006/relationships/worksheet" Target="/xl/worksheets/sheet13.xml" Id="R39d6575baa66471f" /><Relationship Type="http://schemas.openxmlformats.org/officeDocument/2006/relationships/worksheet" Target="/xl/worksheets/sheet14.xml" Id="R6ca5dc2bd88d4d72" /><Relationship Type="http://schemas.openxmlformats.org/officeDocument/2006/relationships/worksheet" Target="/xl/worksheets/sheet15.xml" Id="R72811de4cba04770" /><Relationship Type="http://schemas.openxmlformats.org/officeDocument/2006/relationships/worksheet" Target="/xl/worksheets/sheet16.xml" Id="R0a918f3737a5414a" /><Relationship Type="http://schemas.openxmlformats.org/officeDocument/2006/relationships/worksheet" Target="/xl/worksheets/sheet17.xml" Id="Rb15b02e958dd46be" /><Relationship Type="http://schemas.openxmlformats.org/officeDocument/2006/relationships/worksheet" Target="/xl/worksheets/sheet18.xml" Id="Rb2c40d1506d24367" /><Relationship Type="http://schemas.openxmlformats.org/officeDocument/2006/relationships/worksheet" Target="/xl/worksheets/sheet19.xml" Id="R5212d0108a4e4d4b" /><Relationship Type="http://schemas.openxmlformats.org/officeDocument/2006/relationships/worksheet" Target="/xl/worksheets/sheet20.xml" Id="R03572126418b42bb" /><Relationship Type="http://schemas.openxmlformats.org/officeDocument/2006/relationships/worksheet" Target="/xl/worksheets/sheet21.xml" Id="Rc276a38117424ef8" /><Relationship Type="http://schemas.openxmlformats.org/officeDocument/2006/relationships/worksheet" Target="/xl/worksheets/sheet22.xml" Id="R8a9cea12f26948cf" /><Relationship Type="http://schemas.openxmlformats.org/officeDocument/2006/relationships/worksheet" Target="/xl/worksheets/sheet23.xml" Id="R253eb6194b1d4155" /><Relationship Type="http://schemas.openxmlformats.org/officeDocument/2006/relationships/worksheet" Target="/xl/worksheets/sheet24.xml" Id="R91b3c75ad3fc4f46" /><Relationship Type="http://schemas.openxmlformats.org/officeDocument/2006/relationships/worksheet" Target="/xl/worksheets/sheet25.xml" Id="Rb05d7461e74b48a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34bcaa6fc7d4b6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Średni bezwzględny wpływ na wynik [pp]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Przed |pp|</c:v>
          </c:tx>
          <c:cat>
            <c:strRef>
              <c:f>'Parametry V13'!$D$6:$D$10</c:f>
              <c:strCache>
                <c:ptCount val="0"/>
              </c:strCache>
            </c:strRef>
          </c:cat>
          <c:val>
            <c:numRef>
              <c:f>'Parametry V13'!$E$6:$E$10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Po |pp|</c:v>
          </c:tx>
          <c:cat>
            <c:strRef>
              <c:f>'Parametry V13'!$D$6:$D$10</c:f>
              <c:strCache>
                <c:ptCount val="0"/>
              </c:strCache>
            </c:strRef>
          </c:cat>
          <c:val>
            <c:numRef>
              <c:f>'Parametry V13'!$F$6:$F$10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34bcaa6fc7d4b6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alansKandydatow" displayName="BalansKandydatow" ref="A5:P80" headerRowCount="1" totalsRowCount="0" totalsRowShown="0">
  <x:tableColumns count="16">
    <x:tableColumn id="1" name="ID"/>
    <x:tableColumn id="2" name="Frakcja"/>
    <x:tableColumn id="3" name="Moment"/>
    <x:tableColumn id="4" name="Rodzina efektu"/>
    <x:tableColumn id="5" name="Archetyp"/>
    <x:tableColumn id="6" name="ATK bazowe"/>
    <x:tableColumn id="7" name="MAX HP bazowe"/>
    <x:tableColumn id="8" name="+ATK / turę na ręce"/>
    <x:tableColumn id="9" name="+HP / turę na ręce"/>
    <x:tableColumn id="10" name="ATK po N turach"/>
    <x:tableColumn id="11" name="HP po N turach"/>
    <x:tableColumn id="12" name="Szac. aktywacje"/>
    <x:tableColumn id="13" name="Siła 1 efektu*"/>
    <x:tableColumn id="14" name="Siła łączna*"/>
    <x:tableColumn id="15" name="Ocena balansu"/>
    <x:tableColumn id="16" name="Uwagi testow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.xml" Id="Rc1daba1cae214055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drawing" Target="/xl/drawings/drawing1.xml" Id="R5431427576314ac2" /></Relationships>
</file>

<file path=xl/worksheets/sheet1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23" hidden="0" customWidth="1"/>
    <x:col min="2" max="2" width="44" hidden="0" customWidth="1"/>
    <x:col min="3" max="3" width="44" hidden="0" customWidth="1"/>
    <x:col min="4" max="4" width="44" hidden="0" customWidth="1"/>
    <x:col min="5" max="5" width="44" hidden="0" customWidth="1"/>
    <x:col min="6" max="6" width="44" hidden="0" customWidth="1"/>
    <x:col min="7" max="7" width="44" hidden="0" customWidth="1"/>
    <x:col min="8" max="8" width="44" hidden="0" customWidth="1"/>
    <x:col min="9" max="9" width="44" hidden="0" customWidth="1"/>
    <x:col min="10" max="10" width="44" hidden="0" customWidth="1"/>
    <x:col min="11" max="11" width="44" hidden="0" customWidth="1"/>
    <x:col min="12" max="12" width="44" hidden="0" customWidth="1"/>
    <x:col min="13" max="13" width="44" hidden="0" customWidth="1"/>
    <x:col min="14" max="14" width="44" hidden="0" customWidth="1"/>
    <x:col min="15" max="15" width="44" hidden="0" customWidth="1"/>
  </x:cols>
  <x:sheetData>
    <x:row r="1" ht="25" customHeight="1">
      <x:c r="A1" s="4" t="str">
        <x:v>KARTY STARTOWE  |  FRAKCJE × MOMENTY × EFEKTY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 ht="28" customHeight="1">
      <x:c r="A3" s="11" t="str">
        <x:v>5 frakcji × 14 rodzin efektów = dokładnie 70 unikatowych kart fizycznych (po jednym egzemplarzu archetypu) we wspólnej puli. Obowiązują zasady v17.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</x:row>
    <x:row r="4" ht="34" customHeight="1">
      <x:c r="A4" s="18" t="str">
        <x:v>Jedna kategoria ATK i jedna MAX HP: + na sojusznika, − na wroga. Bez monet, płatności, dobierania, redukcji, kopiowania, przejęcia i wskrzeszania.</x:v>
      </x:c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</x:row>
    <x:row r="5" ht="31" customHeight="1">
      <x:c r="A5" s="24" t="str">
        <x:v>Balans jednorazowych efektów: Przy śmierci &gt; Przy wystawieniu &gt; efekty powtarzalne. Cztery cechy jakościowe zyskują dodatkowe ATK/HP co 3 tury (patrz „Premie cech”).</x:v>
      </x:c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  <x:c r="M5" s="24"/>
      <x:c r="N5" s="24"/>
      <x:c r="O5" s="24"/>
    </x:row>
    <x:row r="7" ht="36" customHeight="1">
      <x:c r="A7" s="32" t="str">
        <x:v>FRAKCJA / MOMENT</x:v>
      </x:c>
      <x:c r="B7" s="32" t="str">
        <x:v>Obrażenia</x:v>
      </x:c>
      <x:c r="C7" s="32" t="str">
        <x:v>Leczenie</x:v>
      </x:c>
      <x:c r="D7" s="32" t="str">
        <x:v>ATK ±</x:v>
      </x:c>
      <x:c r="E7" s="32" t="str">
        <x:v>MAX HP ±</x:v>
      </x:c>
      <x:c r="F7" s="32" t="str">
        <x:v>Pancerz</x:v>
      </x:c>
      <x:c r="G7" s="32" t="str">
        <x:v>Tarcza</x:v>
      </x:c>
      <x:c r="H7" s="32" t="str">
        <x:v>Trucizna</x:v>
      </x:c>
      <x:c r="I7" s="32" t="str">
        <x:v>Ogłuszenie</x:v>
      </x:c>
      <x:c r="J7" s="32" t="str">
        <x:v>Regeneracja</x:v>
      </x:c>
      <x:c r="K7" s="32" t="str">
        <x:v>Prowokacja</x:v>
      </x:c>
      <x:c r="L7" s="32" t="str">
        <x:v>Oczyszczanie</x:v>
      </x:c>
      <x:c r="M7" s="32" t="str">
        <x:v>Odporność</x:v>
      </x:c>
      <x:c r="N7" s="32" t="str">
        <x:v>Szybki atak</x:v>
      </x:c>
      <x:c r="O7" s="32" t="str">
        <x:v>Podwójny atak</x:v>
      </x:c>
    </x:row>
    <x:row r="8" ht="205" customHeight="1">
      <x:c r="A8" s="40" t="str">
        <x:v>ELFY
Przy wystawieniu</x:v>
      </x:c>
      <x:c r="B8" s="47" t="str">
        <x:f>'Katalog kart'!$L$8</x:f>
        <x:v>S01 · Mag Zorzy
Zadaj 3 obrażenia wybranej wrogiej jednostce.
Co 3 własne tury na ręce: +1 do obrażeń zdolności (za każdy ukończony próg).</x:v>
      </x:c>
      <x:c r="C8" s="47" t="str">
        <x:f>'Katalog kart'!$L$9</x:f>
        <x:v>S02 · Kapłanka Srebrnego Blasku
Ulecz wybraną sojuszniczą jednostkę lub własnego bohatera o 4 HP.
Co 3 własne tury na ręce: +1 do leczenia ze zdolności.</x:v>
      </x:c>
      <x:c r="D8" s="47" t="str">
        <x:f>'Katalog kart'!$L$10</x:f>
        <x:v>S04 · Tkacz Run
Wybierz: przyznaj własnej jednostce +1 ATK albo nałóż −1 ATK na wrogą jednostkę; efekt trwa do opuszczenia planszy przez cel.
Co 3 własne tury na ręce: +1 do modułu premii lub osłabienia ATK.</x:v>
      </x:c>
      <x:c r="E8" s="47" t="str">
        <x:f>'Katalog kart'!$L$11</x:f>
        <x:v>S08 · Mag Tkanki Życia
Wybierz: przyznaj własnej jednostce +4 MAX HP i +4 aktualnego HP albo zmniejsz MAX HP wrogiej jednostki o 4 (aktualne HP ogranicz do nowego maksimum). Efekt trwa do opuszczenia planszy przez cel.
Co 3 własne tury na ręce: +1 do modułu zmiany MAX HP.</x:v>
      </x:c>
      <x:c r="F8" s="47" t="str">
        <x:f>'Katalog kart'!$L$12</x:f>
        <x:v>S03 · Zaklinacz Runicznej Zbroi
Przyznaj 4 trwałego pancerza wybranej sojuszniczej jednostce.
Co 3 własne tury na ręce: +1 do pancerza przyznanego/odebranego przez zdolność.</x:v>
      </x:c>
      <x:c r="G8" s="47" t="str">
        <x:f>'Katalog kart'!$L$13</x:f>
        <x:v>S05 · Strażniczka Księżycowej Pieczęci
Przyznaj tarczę wybranej sojuszniczej jednostce i 1 trwałego pancerza temu samemu celowi.
Co 3 własne tury na ręce: dodatkowo +3 MAX HP (nie zwiększaj liczby tarcz).</x:v>
      </x:c>
      <x:c r="H8" s="47" t="str">
        <x:f>'Katalog kart'!$L$14</x:f>
        <x:v>S58 · Alchemik Jadowych Korzeni
Nałóż na wybraną wrogą jednostkę truciznę: 2 obrażenia przez 2 jej własne tury.
Co 3 własne tury na ręce: +1 do ŁĄCZNYCH obrażeń z jednej porcji trucizny; czas trwania bez zmian.</x:v>
      </x:c>
      <x:c r="I8" s="47" t="str">
        <x:f>'Katalog kart'!$L$15</x:f>
        <x:v>S59 · Tkaczka Uśpienia
Ogłusz wybraną wrogą jednostkę na 1 jej własną turę i zadaj jej 1 obrażenie.
Co 3 własne tury na ręce: zdolność przy nałożeniu ogłuszenia zadaje dodatkowo +1 obrażenie; czas ogłuszenia nadal 1 własna tura.</x:v>
      </x:c>
      <x:c r="J8" s="47" t="str">
        <x:f>'Katalog kart'!$L$16</x:f>
        <x:v>S60 · Druid Odnowy
Nałóż na wybraną sojuszniczą jednostkę regenerację 3 HP przez 2 jej własne tury.
Co 3 własne tury na ręce: +1 do ŁĄCZNEGO leczenia z jednej porcji regeneracji; czas trwania bez zmian.</x:v>
      </x:c>
      <x:c r="K8" s="47" t="str">
        <x:f>'Katalog kart'!$L$17</x:f>
        <x:v>S61 · Władczyni Leśnych Więzów
Nadaj wybranej sojuszniczej jednostce prowokację do jej opuszczenia planszy.
Co 3 własne tury na ręce: dodatkowo +3 MAX HP (czas prowokacji bez zmian).</x:v>
      </x:c>
      <x:c r="L8" s="47" t="str">
        <x:f>'Katalog kart'!$L$18</x:f>
        <x:v>S07 · Kapłanka Oczyszczenia
Usuń z wybranej własnej jednostki wszystkie tymczasowe negatywne efekty albo z wrogiej wszystkie tymczasowe pozytywne efekty; dodatkowo ulecz własny cel o 1 HP, jeżeli taki był wybrany.
Co 3 własne tury na ręce: za każde użyteczne oczyszczenie ulecz własny cel o dodatkowe 1 HP lub zadaj wrogiemu celowi dodatkowe 1 obrażenie.</x:v>
      </x:c>
      <x:c r="M8" s="47" t="str">
        <x:f>'Katalog kart'!$L$19</x:f>
        <x:v>S64 · Strażnik Zaklęć Ochronnych
Nadaj wybranej własnej jednostce odporność na truciznę do jej opuszczenia planszy.
Co 3 własne tury na ręce: przy pierwszej aktywacji zdolności po wystawieniu przyznaj dodatkowo 1 trwałego pancerza chronionej jednostce (za każdy poziom).</x:v>
      </x:c>
      <x:c r="N8" s="47" t="str">
        <x:f>'Katalog kart'!$L$20</x:f>
        <x:v>S66 · Mag Migotliwego Kroku
Ta jednostka może zaatakować w turze, w której została wystawiona.
Co 3 własne tury na ręce: dodatkowo +2 ATK i +1 MAX HP.</x:v>
      </x:c>
      <x:c r="O8" s="47" t="str">
        <x:f>'Katalog kart'!$L$21</x:f>
        <x:v>S67 · Zaklinacz Podwójnego Uderzenia
Ta jednostka otrzymuje Podwójny atak: może atakować dwa razy w każdej własnej turze do opuszczenia planszy.
Co 3 własne tury na ręce: dodatkowo +2 ATK (liczba ataków bez zmian).</x:v>
      </x:c>
    </x:row>
    <x:row r="9" ht="205" customHeight="1">
      <x:c r="A9" s="40" t="str">
        <x:v>DZIKIE BESTIE
Przy ataku</x:v>
      </x:c>
      <x:c r="B9" s="70" t="str">
        <x:f>'Katalog kart'!$L$22</x:f>
        <x:v>S09 · Wilk Szponiasty
Przed standardową walką zadaj 1 dodatkowe obrażenie celowi ataku.
Co 3 własne tury na ręce: +1 do obrażeń zdolności (za każdy ukończony próg).</x:v>
      </x:c>
      <x:c r="C9" s="70" t="str">
        <x:f>'Katalog kart'!$L$23</x:f>
        <x:v>S10 · Nietoperz Krwiożerca
Przed standardową walką ulecz tę jednostkę o 2 HP.
Co 3 własne tury na ręce: +1 do leczenia ze zdolności.</x:v>
      </x:c>
      <x:c r="D9" s="70" t="str">
        <x:f>'Katalog kart'!$L$24</x:f>
        <x:v>S68 · Dzik Bursztynowych Kłów
Przed standardową walką wybierz: przyznaj sobie +1 ATK albo nałóż −1 ATK na atakowaną wrogą jednostkę, do końca bieżącej tury.
Co 3 własne tury na ręce: +1 do modułu premii lub osłabienia ATK.</x:v>
      </x:c>
      <x:c r="E9" s="70" t="str">
        <x:f>'Katalog kart'!$L$25</x:f>
        <x:v>S69 · Nosorożec Żelaznoskóry
Przed standardową walką wybierz: przyznaj sobie +1 MAX HP i +1 aktualnego HP albo obniż MAX HP atakowanej jednostki o 1 do końca jej najbliższej własnej tury.
Co 3 własne tury na ręce: +1 do modułu zmiany MAX HP.</x:v>
      </x:c>
      <x:c r="F9" s="70" t="str">
        <x:f>'Katalog kart'!$L$26</x:f>
        <x:v>S12 · Żarłacz Pancerzy
Przed standardową walką usuń do 2 punktów pancerza z celu ataku.
Co 3 własne tury na ręce: +1 do pancerza przyznanego/odebranego przez zdolność.</x:v>
      </x:c>
      <x:c r="G9" s="70" t="str">
        <x:f>'Katalog kart'!$L$27</x:f>
        <x:v>S70 · Żółw Rogaty
Przed standardową walką daj sobie 1 tarczę, jeśli jeszcze jej nie posiadasz.
Co 3 własne tury na ręce: dodatkowo +3 MAX HP (nie zwiększaj liczby tarcz).</x:v>
      </x:c>
      <x:c r="H9" s="70" t="str">
        <x:f>'Katalog kart'!$L$28</x:f>
        <x:v>S11 · Jadowita Żmija
Nałóż na cel ataku truciznę: 1 obrażenie przez 2 jego własne tury.
Co 3 własne tury na ręce: +1 do ŁĄCZNYCH obrażeń z jednej porcji trucizny; czas trwania bez zmian.</x:v>
      </x:c>
      <x:c r="I9" s="70" t="str">
        <x:f>'Katalog kart'!$L$29</x:f>
        <x:v>S15 · Niedźwiedź Grzmotu
Gdy atakujesz jednostkę, ogłusz ją na 1 jej własną turę przed standardową walką.
Co 3 własne tury na ręce: zdolność przy nałożeniu ogłuszenia zadaje dodatkowo +1 obrażenie; czas ogłuszenia nadal 1 własna tura.</x:v>
      </x:c>
      <x:c r="J9" s="70" t="str">
        <x:f>'Katalog kart'!$L$30</x:f>
        <x:v>S71 · Salamandra Odnowy
Przed standardową walką nałóż na tę jednostkę regenerację 1 HP przez 2 własne tury.
Co 3 własne tury na ręce: +1 do ŁĄCZNEGO leczenia z jednej porcji regeneracji; czas trwania bez zmian.</x:v>
      </x:c>
      <x:c r="K9" s="70" t="str">
        <x:f>'Katalog kart'!$L$31</x:f>
        <x:v>S72 · Bawół Strażnik
Przed standardową walką nadaj tej jednostce prowokację do końca jej najbliższej własnej tury.
Co 3 własne tury na ręce: dodatkowo +3 MAX HP (czas prowokacji bez zmian).</x:v>
      </x:c>
      <x:c r="L9" s="70" t="str">
        <x:f>'Katalog kart'!$L$32</x:f>
        <x:v>S74 · Lis Oczyszczający
Gdy atakujesz jednostkę, usuń z niej wszystkie tymczasowe pozytywne efekty przed standardową walką.
Co 3 własne tury na ręce: za każde użyteczne oczyszczenie ulecz własny cel o dodatkowe 1 HP lub zadaj wrogiemu celowi dodatkowe 1 obrażenie.</x:v>
      </x:c>
      <x:c r="M9" s="70" t="str">
        <x:f>'Katalog kart'!$L$33</x:f>
        <x:v>S76 · Miodożer Nieugięty
Przed standardową walką zyskaj odporność na ogłuszenie do końca własnej najbliższej tury.
Co 3 własne tury na ręce: przy pierwszej aktywacji zdolności po wystawieniu przyznaj dodatkowo 1 trwałego pancerza chronionej jednostce (za każdy poziom).</x:v>
      </x:c>
      <x:c r="N9" s="70" t="str">
        <x:f>'Katalog kart'!$L$34</x:f>
        <x:v>S78 · Gepard Burzowy
Przed standardową walką nadaj wybranej innej sojuszniczej jednostce wystawionej w tej turze możliwość atakowania już teraz.
Co 3 własne tury na ręce: dodatkowo +2 ATK i +1 MAX HP.</x:v>
      </x:c>
      <x:c r="O9" s="70" t="str">
        <x:f>'Katalog kart'!$L$35</x:f>
        <x:v>S79 · Dwugłowa Hiena
Gdy wykonujesz pierwszy atak w tej turze, otrzymaj Podwójny atak do końca bieżącej tury: możesz zaatakować drugi raz.
Co 3 własne tury na ręce: dodatkowo +2 ATK (liczba ataków bez zmian).</x:v>
      </x:c>
    </x:row>
    <x:row r="10" ht="205" customHeight="1">
      <x:c r="A10" s="40" t="str">
        <x:v>POTWORY
Przy śmierci</x:v>
      </x:c>
      <x:c r="B10" s="47" t="str">
        <x:f>'Katalog kart'!$L$36</x:f>
        <x:v>S21 · Widmo Otchłani
Zadaj 4 obrażenia wrogiemu bohaterowi.
Co 3 własne tury na ręce: +1 do obrażeń zdolności (za każdy ukończony próg).</x:v>
      </x:c>
      <x:c r="C10" s="47" t="str">
        <x:f>'Katalog kart'!$L$37</x:f>
        <x:v>S17 · Duch Ostatniej Łaski
Ulecz własnego bohatera o 6 HP.
Co 3 własne tury na ręce: +1 do leczenia ze zdolności.</x:v>
      </x:c>
      <x:c r="D10" s="47" t="str">
        <x:f>'Katalog kart'!$L$38</x:f>
        <x:v>S23 · Klątwonosiciel
Wybierz: przyznaj pozostałej własnej jednostce +2 ATK albo nałóż −2 ATK na wrogą jednostkę; efekt trwa do opuszczenia planszy przez cel.
Co 3 własne tury na ręce: +1 do modułu premii lub osłabienia ATK.</x:v>
      </x:c>
      <x:c r="E10" s="47" t="str">
        <x:f>'Katalog kart'!$L$39</x:f>
        <x:v>S81 · Krwawy Homunkulus
Wybierz: przyznaj pozostałej własnej jednostce +5 MAX HP i +5 aktualnego HP albo zmniejsz MAX HP wrogiej jednostki o 5. Efekt trwa do opuszczenia planszy przez cel.
Co 3 własne tury na ręce: +1 do modułu zmiany MAX HP.</x:v>
      </x:c>
      <x:c r="F10" s="47" t="str">
        <x:f>'Katalog kart'!$L$40</x:f>
        <x:v>S82 · Golem Grobowy
Przyznaj 6 trwałego pancerza wybranej pozostałej sojuszniczej jednostce.
Co 3 własne tury na ręce: +1 do pancerza przyznanego/odebranego przez zdolność.</x:v>
      </x:c>
      <x:c r="G10" s="47" t="str">
        <x:f>'Katalog kart'!$L$41</x:f>
        <x:v>S20 · Strażnik Mauzoleum
Przyznaj tarczę wybranej pozostałej sojuszniczej jednostce i 2 trwałego pancerza temu samemu celowi.
Co 3 własne tury na ręce: dodatkowo +3 MAX HP (nie zwiększaj liczby tarcz).</x:v>
      </x:c>
      <x:c r="H10" s="47" t="str">
        <x:f>'Katalog kart'!$L$42</x:f>
        <x:v>S83 · Nosiciel Plagi
Nałóż na wybraną wrogą jednostkę truciznę: 2 obrażenia przez 3 jej własne tury.
Co 3 własne tury na ręce: +1 do ŁĄCZNYCH obrażeń z jednej porcji trucizny; czas trwania bez zmian.</x:v>
      </x:c>
      <x:c r="I10" s="47" t="str">
        <x:f>'Katalog kart'!$L$43</x:f>
        <x:v>S84 · Banshee Krzyku
Ogłusz wybraną wrogą jednostkę na 1 jej własną turę i zadaj jej 2 obrażenia.
Co 3 własne tury na ręce: zdolność przy nałożeniu ogłuszenia zadaje dodatkowo +1 obrażenie; czas ogłuszenia nadal 1 własna tura.</x:v>
      </x:c>
      <x:c r="J10" s="47" t="str">
        <x:f>'Katalog kart'!$L$44</x:f>
        <x:v>S85 · Życiodajne Widmo
Nałóż na wybraną pozostałą sojuszniczą jednostkę regenerację 3 HP przez 3 jej własne tury.
Co 3 własne tury na ręce: +1 do ŁĄCZNEGO leczenia z jednej porcji regeneracji; czas trwania bez zmian.</x:v>
      </x:c>
      <x:c r="K10" s="47" t="str">
        <x:f>'Katalog kart'!$L$45</x:f>
        <x:v>S86 · Trupi Wartownik
Pozostała wybrana sojusznicza jednostka otrzymuje prowokację do swojego opuszczenia planszy.
Co 3 własne tury na ręce: dodatkowo +3 MAX HP (czas prowokacji bez zmian).</x:v>
      </x:c>
      <x:c r="L10" s="47" t="str">
        <x:f>'Katalog kart'!$L$46</x:f>
        <x:v>S87 · Widmo Rozproszenia
Usuń z wybranej pozostałej własnej jednostki wszystkie tymczasowe negatywne efekty oraz przyznaj jej 2 trwałego pancerza.
Co 3 własne tury na ręce: za każde użyteczne oczyszczenie ulecz własny cel o dodatkowe 1 HP lub zadaj wrogiemu celowi dodatkowe 1 obrażenie.</x:v>
      </x:c>
      <x:c r="M10" s="47" t="str">
        <x:f>'Katalog kart'!$L$47</x:f>
        <x:v>S88 · Grobowy Antymag
Nadaj wybranej pozostałej własnej jednostce odporność na truciznę i ogłuszenie do jej opuszczenia planszy.
Co 3 własne tury na ręce: przy pierwszej aktywacji zdolności po wystawieniu przyznaj dodatkowo 1 trwałego pancerza chronionej jednostce (za każdy poziom).</x:v>
      </x:c>
      <x:c r="N10" s="47" t="str">
        <x:f>'Katalog kart'!$L$48</x:f>
        <x:v>S90 · Koszmar Błyskawic
Twoja najbliższa wystawiona jednostka może zaatakować w turze jej wystawienia.
Co 3 własne tury na ręce: dodatkowo +2 ATK i +1 MAX HP.</x:v>
      </x:c>
      <x:c r="O10" s="47" t="str">
        <x:f>'Katalog kart'!$L$49</x:f>
        <x:v>S91 · Dwuszczęki Horror
Wybrana pozostała sojusznicza jednostka otrzymuje Podwójny atak do opuszczenia planszy.
Co 3 własne tury na ręce: dodatkowo +2 ATK (liczba ataków bez zmian).</x:v>
      </x:c>
    </x:row>
    <x:row r="11" ht="205" customHeight="1">
      <x:c r="A11" s="40" t="str">
        <x:v>KRASNOLUDY
Na koniec tury</x:v>
      </x:c>
      <x:c r="B11" s="70" t="str">
        <x:f>'Katalog kart'!$L$50</x:f>
        <x:v>S27 · Kusznik Runiczny
Zadaj 1 obrażenie wrogiej jednostce z najniższym aktualnym HP.
Co 3 własne tury na ręce: +1 do obrażeń zdolności (za każdy ukończony próg).</x:v>
      </x:c>
      <x:c r="C11" s="70" t="str">
        <x:f>'Katalog kart'!$L$51</x:f>
        <x:v>S25 · Medyk Górniczy
Ulecz wybraną sojuszniczą jednostkę o 2 HP.
Co 3 własne tury na ręce: +1 do leczenia ze zdolności.</x:v>
      </x:c>
      <x:c r="D11" s="70" t="str">
        <x:f>'Katalog kart'!$L$52</x:f>
        <x:v>S28 · Mistrz Run Bitewnych
Wybierz: przyznaj sojuszniczej jednostce +1 ATK albo nałóż −1 ATK na wrogą jednostkę do końca jej najbliższej własnej tury.
Co 3 własne tury na ręce: +1 do modułu premii lub osłabienia ATK.</x:v>
      </x:c>
      <x:c r="E11" s="70" t="str">
        <x:f>'Katalog kart'!$L$53</x:f>
        <x:v>S93 · Kowal Życiostali
Wybierz: przyznaj sojuszniczej jednostce +1 MAX HP i +1 aktualnego HP albo obniż MAX HP wrogiej jednostki o 1 do końca jej najbliższej własnej tury.
Co 3 własne tury na ręce: +1 do modułu zmiany MAX HP.</x:v>
      </x:c>
      <x:c r="F11" s="70" t="str">
        <x:f>'Katalog kart'!$L$54</x:f>
        <x:v>S26 · Kowal Żelaznej Kuźni
Przyznaj 2 tymczasowego pancerza wybranej sojuszniczej jednostce do końca jej najbliższej własnej tury.
Co 3 własne tury na ręce: +1 do pancerza przyznanego/odebranego przez zdolność.</x:v>
      </x:c>
      <x:c r="G11" s="70" t="str">
        <x:f>'Katalog kart'!$L$55</x:f>
        <x:v>S94 · Mistrz Tarczy
Daj wybranej sojuszniczej jednostce 1 tarczę, jeśli jeszcze jej nie posiada.
Co 3 własne tury na ręce: dodatkowo +3 MAX HP (nie zwiększaj liczby tarcz).</x:v>
      </x:c>
      <x:c r="H11" s="70" t="str">
        <x:f>'Katalog kart'!$L$56</x:f>
        <x:v>S32 · Alchemik Kopalnianych Trucizn
Na koniec tury nałóż na wybraną wrogą jednostkę truciznę: 1 obrażenie przez 2 jej własne tury. Jedna jednostka może mieć tylko jedną aktywną truciznę pochodzącą od tego Alchemika; trucizny różnych źródeł nadal się sumują.
Co 3 własne tury na ręce: +1 do ŁĄCZNYCH obrażeń z jednej porcji trucizny; czas trwania bez zmian.</x:v>
      </x:c>
      <x:c r="I11" s="70" t="str">
        <x:f>'Katalog kart'!$L$57</x:f>
        <x:v>S95 · Młotnik Wstrząsów
Na koniec tury ogłusz wrogą jednostkę z najniższym aktualnym ATK na 1 jej własną turę. Nie możesz ogłuszać tej samej jednostki w dwóch kolejnych własnych turach.
Co 3 własne tury na ręce: zdolność przy nałożeniu ogłuszenia zadaje dodatkowo +1 obrażenie; czas ogłuszenia nadal 1 własna tura.</x:v>
      </x:c>
      <x:c r="J11" s="70" t="str">
        <x:f>'Katalog kart'!$L$58</x:f>
        <x:v>S31 · Znachor Klanowy
Nałóż na wybraną sojuszniczą jednostkę regenerację 1 HP przez 2 jej własne tury.
Co 3 własne tury na ręce: +1 do ŁĄCZNEGO leczenia z jednej porcji regeneracji; czas trwania bez zmian.</x:v>
      </x:c>
      <x:c r="K11" s="70" t="str">
        <x:f>'Katalog kart'!$L$59</x:f>
        <x:v>S96 · Wartownik Szybu
Nadaj wybranej sojuszniczej jednostce prowokację do końca jej najbliższej własnej tury.
Co 3 własne tury na ręce: dodatkowo +3 MAX HP (czas prowokacji bez zmian).</x:v>
      </x:c>
      <x:c r="L11" s="70" t="str">
        <x:f>'Katalog kart'!$L$60</x:f>
        <x:v>S97 · Czyściciel Run
Usuń wszystkie tymczasowe negatywne efekty z wybranej sojuszniczej jednostki.
Co 3 własne tury na ręce: za każde użyteczne oczyszczenie ulecz własny cel o dodatkowe 1 HP lub zadaj wrogiemu celowi dodatkowe 1 obrażenie.</x:v>
      </x:c>
      <x:c r="M11" s="70" t="str">
        <x:f>'Katalog kart'!$L$61</x:f>
        <x:v>S99 · Górski Odtruwacz
Nadaj wybranej sojuszniczej jednostce odporność na truciznę do końca jej najbliższej własnej tury.
Co 3 własne tury na ręce: przy pierwszej aktywacji zdolności po wystawieniu przyznaj dodatkowo 1 trwałego pancerza chronionej jednostce (za każdy poziom).</x:v>
      </x:c>
      <x:c r="N11" s="70" t="str">
        <x:f>'Katalog kart'!$L$62</x:f>
        <x:v>S101 · Konstruktor Sprężyn
Na koniec tury wybierz jedną kartę jednostki z ręki; otrzymuje Szybki atak wyłącznie jeśli wystawisz ją w swojej następnej turze. Bonus nie przechodzi na kolejne tury i nie kumuluje się.
Co 3 własne tury na ręce: dodatkowo +2 ATK i +1 MAX HP.</x:v>
      </x:c>
      <x:c r="O11" s="70" t="str">
        <x:f>'Katalog kart'!$L$63</x:f>
        <x:v>S102 · Mechanik Dwóch Ostrzy
Na koniec tury wybrana sojusznicza jednostka otrzymuje Podwójny atak wyłącznie w swojej najbliższej własnej turze; premia nie kumuluje się.
Co 3 własne tury na ręce: dodatkowo +2 ATK (liczba ataków bez zmian).</x:v>
      </x:c>
    </x:row>
    <x:row r="12" ht="205" customHeight="1">
      <x:c r="A12" s="40" t="str">
        <x:v>LUDZIE
Pasywna</x:v>
      </x:c>
      <x:c r="B12" s="47" t="str">
        <x:f>'Katalog kart'!$L$64</x:f>
        <x:v>S103 · Weteran Odwetu
Każda wroga jednostka, która atakuje tę jednostkę, otrzymuje 1 obrażenie przed standardową walką.
Co 3 własne tury na ręce: +1 do obrażeń zdolności (za każdy ukończony próg).</x:v>
      </x:c>
      <x:c r="C12" s="47" t="str">
        <x:f>'Katalog kart'!$L$65</x:f>
        <x:v>S104 · Kapelan Garnizonu
Dopóki ta jednostka jest na planszy, każda własna jednostka odzyskuje dodatkowe 2 HP podczas leczenia ze zdolności.
Co 3 własne tury na ręce: +1 do leczenia ze zdolności.</x:v>
      </x:c>
      <x:c r="D12" s="47" t="str">
        <x:f>'Katalog kart'!$L$66</x:f>
        <x:v>S34 · Chorąży Królewskiej Kompanii
Wybierz tryb aury przy wystawieniu: najbliższa inna sojusznicza jednostka (preferuj po prawej, w przeciwnym razie po lewej) ma +1 ATK ALBO wroga jednostka bezpośrednio naprzeciw Chorążego ma −1 ATK. Tryb jest stały do opuszczenia planszy.
Co 3 własne tury na ręce: +1 do modułu premii lub osłabienia ATK.</x:v>
      </x:c>
      <x:c r="E12" s="47" t="str">
        <x:f>'Katalog kart'!$L$67</x:f>
        <x:v>S35 · Komendant Straży
Wybierz tryb aury przy pojawieniu się na planszy: pozostałe własne jednostki mają +1 MAX HP i +1 aktualnego HP ALBO wrogie mają −1 MAX HP (aktualne HP ogranicz do maksimum), dopóki zdolność działa.
Co 3 własne tury na ręce: +1 do modułu zmiany MAX HP.</x:v>
      </x:c>
      <x:c r="F12" s="47" t="str">
        <x:f>'Katalog kart'!$L$68</x:f>
        <x:v>S105 · Zbrojmistrz Garnizonu
Dopóki ta zdolność działa, pozostałe sojusznicze jednostki mają po 2 tymczasowego pancerza ze źródła tej aury; wygaśnięcie aury usuwa tę ochronę.
Co 3 własne tury na ręce: +1 do pancerza przyznanego/odebranego przez zdolność.</x:v>
      </x:c>
      <x:c r="G12" s="47" t="str">
        <x:f>'Katalog kart'!$L$69</x:f>
        <x:v>S106 · Chorąży z Pawężą
Dopóki ta zdolność działa, ta jednostka ma tarczę. Tarcza z aury nie odnawia się po zużyciu podczas tego wystawienia.
Co 3 własne tury na ręce: dodatkowo +3 MAX HP (nie zwiększaj liczby tarcz).</x:v>
      </x:c>
      <x:c r="H12" s="47" t="str">
        <x:f>'Katalog kart'!$L$70</x:f>
        <x:v>S107 · Chemik Wojskowy
Gdy wroga jednostka zadaje tej jednostce standardowe obrażenia w walce, otrzymuje truciznę: 1 obrażenie przez 2 własne tury.
Co 3 własne tury na ręce: +1 do ŁĄCZNYCH obrażeń z jednej porcji trucizny; czas trwania bez zmian.</x:v>
      </x:c>
      <x:c r="I12" s="47" t="str">
        <x:f>'Katalog kart'!$L$71</x:f>
        <x:v>S108 · Królewski Trębacz
Gdy wroga jednostka po raz pierwszy znajdzie się naprzeciw Trębacza, jest ogłuszona na 1 własną turę. Ta sama jednostka nie może być ogłuszona ponownie przez Trębacza podczas jego bieżącego wystawienia.
Co 3 własne tury na ręce: zdolność przy nałożeniu ogłuszenia zadaje dodatkowo +1 obrażenie; czas ogłuszenia nadal 1 własna tura.</x:v>
      </x:c>
      <x:c r="J12" s="47" t="str">
        <x:f>'Katalog kart'!$L$72</x:f>
        <x:v>S109 · Kapelan Odnowy
Ta jednostka ma regenerację 2 HP na koniec każdej własnej tury, dopóki działa ta zdolność.
Co 3 własne tury na ręce: +1 do ŁĄCZNEGO leczenia z jednej porcji regeneracji; czas trwania bez zmian.</x:v>
      </x:c>
      <x:c r="K12" s="47" t="str">
        <x:f>'Katalog kart'!$L$73</x:f>
        <x:v>S33 · Strażnik Bram
Ta jednostka posiada prowokację; wrogie jednostki muszą atakować cele z prowokacją.
Co 3 własne tury na ręce: dodatkowo +3 MAX HP (czas prowokacji bez zmian).</x:v>
      </x:c>
      <x:c r="L12" s="47" t="str">
        <x:f>'Katalog kart'!$L$74</x:f>
        <x:v>S111 · Chirurg Frontowy
Dopóki ta zdolność działa, tymczasowe negatywne efekty nakładane na tę jednostkę są natychmiast usuwane.
Co 3 własne tury na ręce: za każde użyteczne oczyszczenie ulecz własny cel o dodatkowe 1 HP lub zadaj wrogiemu celowi dodatkowe 1 obrażenie.</x:v>
      </x:c>
      <x:c r="M12" s="47" t="str">
        <x:f>'Katalog kart'!$L$75</x:f>
        <x:v>S39 · Alchemik Antytoksyk
Ta jednostka jest odporna na truciznę; istniejące trucizny zostają usunięte.
Co 3 własne tury na ręce: przy pierwszej aktywacji zdolności po wystawieniu przyznaj dodatkowo 1 trwałego pancerza chronionej jednostce (za każdy poziom).</x:v>
      </x:c>
      <x:c r="N12" s="47" t="str">
        <x:f>'Katalog kart'!$L$76</x:f>
        <x:v>S114 · Instruktor Błyskawicznego Natarcia
Ta jednostka ma Szybki atak: może atakować od razu po wystawieniu, dopóki zdolność działa.
Co 3 własne tury na ręce: dodatkowo +2 ATK i +1 MAX HP.</x:v>
      </x:c>
      <x:c r="O12" s="47" t="str">
        <x:f>'Katalog kart'!$L$77</x:f>
        <x:v>S115 · Mistrz Dwóch Ostrzy
Ta jednostka ma Podwójny atak: może atakować dwa razy w każdej własnej turze, dopóki działa zdolność.
Co 3 własne tury na ręce: dodatkowo +2 ATK (liczba ataków bez zmian).</x:v>
      </x:c>
    </x:row>
    <x:row r="14" ht="24" customHeight="1">
      <x:c r="A14" s="52" t="str">
        <x:v>LICZBA KANDYDATÓW</x:v>
      </x:c>
      <x:c r="B14" s="52" t="n">
        <x:f>COUNTIF('Katalog kart'!$C$8:$C$82,B7)</x:f>
        <x:v>5</x:v>
      </x:c>
      <x:c r="C14" s="52" t="n">
        <x:f>COUNTIF('Katalog kart'!$C$8:$C$82,C7)</x:f>
        <x:v>5</x:v>
      </x:c>
      <x:c r="D14" s="52" t="n">
        <x:f>COUNTIF('Katalog kart'!$C$8:$C$82,D7)</x:f>
        <x:v>5</x:v>
      </x:c>
      <x:c r="E14" s="52" t="n">
        <x:f>COUNTIF('Katalog kart'!$C$8:$C$82,E7)</x:f>
        <x:v>5</x:v>
      </x:c>
      <x:c r="F14" s="52" t="n">
        <x:f>COUNTIF('Katalog kart'!$C$8:$C$82,F7)</x:f>
        <x:v>5</x:v>
      </x:c>
      <x:c r="G14" s="52" t="n">
        <x:f>COUNTIF('Katalog kart'!$C$8:$C$82,G7)</x:f>
        <x:v>5</x:v>
      </x:c>
      <x:c r="H14" s="52" t="n">
        <x:f>COUNTIF('Katalog kart'!$C$8:$C$82,H7)</x:f>
        <x:v>5</x:v>
      </x:c>
      <x:c r="I14" s="52" t="n">
        <x:f>COUNTIF('Katalog kart'!$C$8:$C$82,I7)</x:f>
        <x:v>5</x:v>
      </x:c>
      <x:c r="J14" s="52" t="n">
        <x:f>COUNTIF('Katalog kart'!$C$8:$C$82,J7)</x:f>
        <x:v>5</x:v>
      </x:c>
      <x:c r="K14" s="52" t="n">
        <x:f>COUNTIF('Katalog kart'!$C$8:$C$82,K7)</x:f>
        <x:v>5</x:v>
      </x:c>
      <x:c r="L14" s="52" t="n">
        <x:f>COUNTIF('Katalog kart'!$C$8:$C$82,L7)</x:f>
        <x:v>5</x:v>
      </x:c>
      <x:c r="M14" s="52" t="n">
        <x:f>COUNTIF('Katalog kart'!$C$8:$C$82,M7)</x:f>
        <x:v>5</x:v>
      </x:c>
      <x:c r="N14" s="52" t="n">
        <x:f>COUNTIF('Katalog kart'!$C$8:$C$82,N7)</x:f>
        <x:v>5</x:v>
      </x:c>
      <x:c r="O14" s="52" t="n">
        <x:f>COUNTIF('Katalog kart'!$C$8:$C$82,O7)</x:f>
        <x:v>5</x:v>
      </x:c>
    </x:row>
    <x:row r="16" ht="32" customHeight="1">
      <x:c r="A16" s="55" t="str">
        <x:v>Macierz automatycznie pobiera opisy z Katalogu kart. Koryguj szczegóły, ATK/HP i ocenę bezpośrednio w Katalogu; efekt zachowa swoje ID.</x:v>
      </x:c>
      <x:c r="B16" s="55"/>
      <x:c r="C16" s="55"/>
      <x:c r="D16" s="55"/>
      <x:c r="E16" s="55"/>
      <x:c r="F16" s="55"/>
      <x:c r="G16" s="55"/>
      <x:c r="H16" s="55"/>
      <x:c r="I16" s="55"/>
      <x:c r="J16" s="55"/>
      <x:c r="K16" s="55"/>
      <x:c r="L16" s="55"/>
      <x:c r="M16" s="55"/>
      <x:c r="N16" s="55"/>
      <x:c r="O16" s="55"/>
    </x:row>
  </x:sheetData>
  <x:mergeCells>
    <x:mergeCell ref="A1:O2"/>
    <x:mergeCell ref="A3:O3"/>
    <x:mergeCell ref="A4:O4"/>
    <x:mergeCell ref="A5:O5"/>
    <x:mergeCell ref="A16:O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9" hidden="0" customWidth="1"/>
    <x:col min="2" max="2" width="22" hidden="0" customWidth="1"/>
    <x:col min="3" max="3" width="18" hidden="0" customWidth="1"/>
    <x:col min="4" max="4" width="27" hidden="0" customWidth="1"/>
    <x:col min="5" max="5" width="8" hidden="0" customWidth="1"/>
    <x:col min="6" max="6" width="10" hidden="0" customWidth="1"/>
    <x:col min="7" max="7" width="92" hidden="0" customWidth="1"/>
    <x:col min="8" max="8" width="14" hidden="0" customWidth="1"/>
    <x:col min="9" max="9" width="17" hidden="0" customWidth="1"/>
    <x:col min="10" max="10" width="40" hidden="0" customWidth="1"/>
    <x:col min="11" max="11" width="24" hidden="0" customWidth="1"/>
    <x:col min="12" max="12" width="83" hidden="0" customWidth="1"/>
    <x:col min="13" max="13" width="17" hidden="0" customWidth="1"/>
    <x:col min="14" max="14" width="49" hidden="0" customWidth="1"/>
  </x:cols>
  <x:sheetData>
    <x:row r="1" ht="25" customHeight="1">
      <x:c r="A1" s="4" t="str">
        <x:v>KARTY STARTOWE | KATALOG ZATWIERDZONY — 70 KART / v17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 ht="28" customHeight="1">
      <x:c r="A3" s="11" t="str">
        <x:v>ZATWIERDZONE: 70 archetypów × 1 egzemplarz = 70 fizycznych kart we wspólnej puli. Bazowe statystyki i zdolności po balansie v13 — bez zmian w v17.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</x:row>
    <x:row r="4" ht="28" customHeight="1">
      <x:c r="A4" s="18" t="str">
        <x:v>Kolumna C oznacza rodzinę efektu; karty ATK ± i MAX HP ± mają W JEDNEJ zdolności wybór: wzmocnienie własnej ALBO osłabienie wrogiej jednostki.</x:v>
      </x:c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</x:row>
    <x:row r="5" ht="28" customHeight="1">
      <x:c r="A5" s="24" t="str">
        <x:v>Efekty jednorazowe zostały liczbowo lekko wzmocnione: Przy śmierci &gt; Przy wystawieniu &gt; powtarzalne (przy porównywalnych efektach). Rzadkość nie występuje w tym secie.</x:v>
      </x:c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</x:row>
    <x:row r="6">
      <x:c r="A6" t="str">
        <x:v>Dodatkowe przyrosty cech Szybki atak / Podwójny atak / Tarcza / Prowokacja są opisane w kolumnie N i arkuszu „Premie cech”.</x:v>
      </x:c>
    </x:row>
    <x:row r="7" ht="28" customHeight="1">
      <x:c r="A7" s="32" t="str">
        <x:v>ID</x:v>
      </x:c>
      <x:c r="B7" s="32" t="str">
        <x:v>Moment aktywacji</x:v>
      </x:c>
      <x:c r="C7" s="32" t="str">
        <x:v>Rodzaj efektu</x:v>
      </x:c>
      <x:c r="D7" s="32" t="str">
        <x:v>Nazwa archetypu</x:v>
      </x:c>
      <x:c r="E7" s="32" t="str">
        <x:v>ATK</x:v>
      </x:c>
      <x:c r="F7" s="32" t="str">
        <x:v>MAX HP</x:v>
      </x:c>
      <x:c r="G7" s="32" t="str">
        <x:v>Dokładny efekt specjalny</x:v>
      </x:c>
      <x:c r="H7" s="32" t="str">
        <x:v>Liczba kopii</x:v>
      </x:c>
      <x:c r="I7" s="32" t="str">
        <x:v>Twoja ocena</x:v>
      </x:c>
      <x:c r="J7" s="32" t="str">
        <x:v>Uwagi / zmiany</x:v>
      </x:c>
      <x:c r="K7" s="32" t="str">
        <x:v>Pochodzenie</x:v>
      </x:c>
      <x:c r="L7" s="32" t="str">
        <x:v>Pełny opis do macierzy</x:v>
      </x:c>
      <x:c r="M7" s="78" t="str">
        <x:v>Frakcja</x:v>
      </x:c>
      <x:c r="N7" s="159" t="str">
        <x:v>Bonus zdolności / 3 tury w ręce</x:v>
      </x:c>
    </x:row>
    <x:row r="8" ht="67" customHeight="1">
      <x:c r="A8" s="59" t="str">
        <x:v>S01</x:v>
      </x:c>
      <x:c r="B8" s="59" t="str">
        <x:v>Przy wystawieniu</x:v>
      </x:c>
      <x:c r="C8" s="59" t="str">
        <x:v>Obrażenia</x:v>
      </x:c>
      <x:c r="D8" s="59" t="str">
        <x:v>Mag Zorzy</x:v>
      </x:c>
      <x:c r="E8" s="220" t="n">
        <x:v>1</x:v>
      </x:c>
      <x:c r="F8" s="220" t="n">
        <x:v>4</x:v>
      </x:c>
      <x:c r="G8" s="62" t="str">
        <x:v>Zadaj 3 obrażenia wybranej wrogiej jednostce.</x:v>
      </x:c>
      <x:c r="H8" s="59"/>
      <x:c r="I8" s="64" t="str">
        <x:v>Do oceny</x:v>
      </x:c>
      <x:c r="J8" s="65"/>
      <x:c r="K8" s="59" t="str">
        <x:v>Z poprzedniego katalogu</x:v>
      </x:c>
      <x:c r="L8" s="62" t="str">
        <x:v>S01 · Mag Zorzy
Zadaj 3 obrażenia wybranej wrogiej jednostce.
Co 3 własne tury na ręce: +1 do obrażeń zdolności (za każdy ukończony próg).</x:v>
      </x:c>
      <x:c r="M8" t="str">
        <x:v>Elfy</x:v>
      </x:c>
      <x:c r="N8" s="91" t="str">
        <x:v>Co 3 własne tury na ręce: +1 do obrażeń zdolności (za każdy ukończony próg).</x:v>
      </x:c>
    </x:row>
    <x:row r="9" ht="67" customHeight="1">
      <x:c r="A9" s="59" t="str">
        <x:v>S02</x:v>
      </x:c>
      <x:c r="B9" s="59" t="str">
        <x:v>Przy wystawieniu</x:v>
      </x:c>
      <x:c r="C9" s="59" t="str">
        <x:v>Leczenie</x:v>
      </x:c>
      <x:c r="D9" s="59" t="str">
        <x:v>Kapłanka Srebrnego Blasku</x:v>
      </x:c>
      <x:c r="E9" s="220" t="n">
        <x:v>3</x:v>
      </x:c>
      <x:c r="F9" s="220" t="n">
        <x:v>5</x:v>
      </x:c>
      <x:c r="G9" s="62" t="str">
        <x:v>Ulecz wybraną sojuszniczą jednostkę lub własnego bohatera o 4 HP.</x:v>
      </x:c>
      <x:c r="H9" s="59"/>
      <x:c r="I9" s="64" t="str">
        <x:v>Do oceny</x:v>
      </x:c>
      <x:c r="J9" s="65"/>
      <x:c r="K9" s="59" t="str">
        <x:v>Z poprzedniego katalogu</x:v>
      </x:c>
      <x:c r="L9" s="62" t="str">
        <x:v>S02 · Kapłanka Srebrnego Blasku
Ulecz wybraną sojuszniczą jednostkę lub własnego bohatera o 4 HP.
Co 3 własne tury na ręce: +1 do leczenia ze zdolności.</x:v>
      </x:c>
      <x:c r="M9" t="str">
        <x:v>Elfy</x:v>
      </x:c>
      <x:c r="N9" s="91" t="str">
        <x:v>Co 3 własne tury na ręce: +1 do leczenia ze zdolności.</x:v>
      </x:c>
    </x:row>
    <x:row r="10" ht="67" customHeight="1">
      <x:c r="A10" s="59" t="str">
        <x:v>S04</x:v>
      </x:c>
      <x:c r="B10" s="59" t="str">
        <x:v>Przy wystawieniu</x:v>
      </x:c>
      <x:c r="C10" s="59" t="str">
        <x:v>ATK ±</x:v>
      </x:c>
      <x:c r="D10" s="59" t="str">
        <x:v>Tkacz Run</x:v>
      </x:c>
      <x:c r="E10" s="220" t="n">
        <x:v>1</x:v>
      </x:c>
      <x:c r="F10" s="220" t="n">
        <x:v>4</x:v>
      </x:c>
      <x:c r="G10" s="62" t="str">
        <x:v>Wybierz: przyznaj własnej jednostce +1 ATK albo nałóż −1 ATK na wrogą jednostkę; efekt trwa do opuszczenia planszy przez cel.</x:v>
      </x:c>
      <x:c r="H10" s="59"/>
      <x:c r="I10" s="64" t="str">
        <x:v>Do oceny</x:v>
      </x:c>
      <x:c r="J10" s="65"/>
      <x:c r="K10" s="59" t="str">
        <x:v>Z poprzedniego katalogu</x:v>
      </x:c>
      <x:c r="L10" s="62" t="str">
        <x:v>S04 · Tkacz Run
Wybierz: przyznaj własnej jednostce +1 ATK albo nałóż −1 ATK na wrogą jednostkę; efekt trwa do opuszczenia planszy przez cel.
Co 3 własne tury na ręce: +1 do modułu premii lub osłabienia ATK.</x:v>
      </x:c>
      <x:c r="M10" t="str">
        <x:v>Elfy</x:v>
      </x:c>
      <x:c r="N10" s="91" t="str">
        <x:v>Co 3 własne tury na ręce: +1 do modułu premii lub osłabienia ATK.</x:v>
      </x:c>
    </x:row>
    <x:row r="11" ht="67" customHeight="1">
      <x:c r="A11" s="59" t="str">
        <x:v>S08</x:v>
      </x:c>
      <x:c r="B11" s="59" t="str">
        <x:v>Przy wystawieniu</x:v>
      </x:c>
      <x:c r="C11" s="59" t="str">
        <x:v>MAX HP ±</x:v>
      </x:c>
      <x:c r="D11" s="59" t="str">
        <x:v>Mag Tkanki Życia</x:v>
      </x:c>
      <x:c r="E11" s="220" t="n">
        <x:v>2</x:v>
      </x:c>
      <x:c r="F11" s="220" t="n">
        <x:v>7</x:v>
      </x:c>
      <x:c r="G11" s="62" t="str">
        <x:v>Wybierz: przyznaj własnej jednostce +4 MAX HP i +4 aktualnego HP albo zmniejsz MAX HP wrogiej jednostki o 4 (aktualne HP ogranicz do nowego maksimum). Efekt trwa do opuszczenia planszy przez cel.</x:v>
      </x:c>
      <x:c r="H11" s="59"/>
      <x:c r="I11" s="64" t="str">
        <x:v>Do oceny</x:v>
      </x:c>
      <x:c r="J11" s="65"/>
      <x:c r="K11" s="59" t="str">
        <x:v>Z poprzedniego katalogu</x:v>
      </x:c>
      <x:c r="L11" s="62" t="str">
        <x:v>S08 · Mag Tkanki Życia
Wybierz: przyznaj własnej jednostce +4 MAX HP i +4 aktualnego HP albo zmniejsz MAX HP wrogiej jednostki o 4 (aktualne HP ogranicz do nowego maksimum). Efekt trwa do opuszczenia planszy przez cel.
Co 3 własne tury na ręce: +1 do modułu zmiany MAX HP.</x:v>
      </x:c>
      <x:c r="M11" t="str">
        <x:v>Elfy</x:v>
      </x:c>
      <x:c r="N11" s="91" t="str">
        <x:v>Co 3 własne tury na ręce: +1 do modułu zmiany MAX HP.</x:v>
      </x:c>
    </x:row>
    <x:row r="12" ht="67" customHeight="1">
      <x:c r="A12" s="59" t="str">
        <x:v>S03</x:v>
      </x:c>
      <x:c r="B12" s="59" t="str">
        <x:v>Przy wystawieniu</x:v>
      </x:c>
      <x:c r="C12" s="59" t="str">
        <x:v>Pancerz</x:v>
      </x:c>
      <x:c r="D12" s="59" t="str">
        <x:v>Zaklinacz Runicznej Zbroi</x:v>
      </x:c>
      <x:c r="E12" s="220" t="n">
        <x:v>2</x:v>
      </x:c>
      <x:c r="F12" s="220" t="n">
        <x:v>7</x:v>
      </x:c>
      <x:c r="G12" s="62" t="str">
        <x:v>Przyznaj 4 trwałego pancerza wybranej sojuszniczej jednostce.</x:v>
      </x:c>
      <x:c r="H12" s="59"/>
      <x:c r="I12" s="64" t="str">
        <x:v>Do oceny</x:v>
      </x:c>
      <x:c r="J12" s="65"/>
      <x:c r="K12" s="59" t="str">
        <x:v>Z poprzedniego katalogu</x:v>
      </x:c>
      <x:c r="L12" s="62" t="str">
        <x:v>S03 · Zaklinacz Runicznej Zbroi
Przyznaj 4 trwałego pancerza wybranej sojuszniczej jednostce.
Co 3 własne tury na ręce: +1 do pancerza przyznanego/odebranego przez zdolność.</x:v>
      </x:c>
      <x:c r="M12" t="str">
        <x:v>Elfy</x:v>
      </x:c>
      <x:c r="N12" s="91" t="str">
        <x:v>Co 3 własne tury na ręce: +1 do pancerza przyznanego/odebranego przez zdolność.</x:v>
      </x:c>
    </x:row>
    <x:row r="13" ht="67" customHeight="1">
      <x:c r="A13" s="59" t="str">
        <x:v>S05</x:v>
      </x:c>
      <x:c r="B13" s="59" t="str">
        <x:v>Przy wystawieniu</x:v>
      </x:c>
      <x:c r="C13" s="59" t="str">
        <x:v>Tarcza</x:v>
      </x:c>
      <x:c r="D13" s="59" t="str">
        <x:v>Strażniczka Księżycowej Pieczęci</x:v>
      </x:c>
      <x:c r="E13" s="220" t="n">
        <x:v>3</x:v>
      </x:c>
      <x:c r="F13" s="220" t="n">
        <x:v>6</x:v>
      </x:c>
      <x:c r="G13" s="62" t="str">
        <x:v>Przyznaj tarczę wybranej sojuszniczej jednostce i 1 trwałego pancerza temu samemu celowi.</x:v>
      </x:c>
      <x:c r="H13" s="59"/>
      <x:c r="I13" s="64" t="str">
        <x:v>Do oceny</x:v>
      </x:c>
      <x:c r="J13" s="65"/>
      <x:c r="K13" s="59" t="str">
        <x:v>Z poprzedniego katalogu</x:v>
      </x:c>
      <x:c r="L13" s="62" t="str">
        <x:v>S05 · Strażniczka Księżycowej Pieczęci
Przyznaj tarczę wybranej sojuszniczej jednostce i 1 trwałego pancerza temu samemu celowi.
Co 3 własne tury na ręce: dodatkowo +3 MAX HP (nie zwiększaj liczby tarcz).</x:v>
      </x:c>
      <x:c r="M13" t="str">
        <x:v>Elfy</x:v>
      </x:c>
      <x:c r="N13" s="91" t="str">
        <x:v>Co 3 własne tury na ręce: dodatkowo +3 MAX HP (nie zwiększaj liczby tarcz).</x:v>
      </x:c>
    </x:row>
    <x:row r="14" ht="67" customHeight="1">
      <x:c r="A14" s="59" t="str">
        <x:v>S58</x:v>
      </x:c>
      <x:c r="B14" s="59" t="str">
        <x:v>Przy wystawieniu</x:v>
      </x:c>
      <x:c r="C14" s="59" t="str">
        <x:v>Trucizna</x:v>
      </x:c>
      <x:c r="D14" s="59" t="str">
        <x:v>Alchemik Jadowych Korzeni</x:v>
      </x:c>
      <x:c r="E14" s="220" t="n">
        <x:v>1</x:v>
      </x:c>
      <x:c r="F14" s="220" t="n">
        <x:v>5</x:v>
      </x:c>
      <x:c r="G14" s="62" t="str">
        <x:v>Nałóż na wybraną wrogą jednostkę truciznę: 2 obrażenia przez 2 jej własne tury.</x:v>
      </x:c>
      <x:c r="H14" s="59"/>
      <x:c r="I14" s="64" t="str">
        <x:v>Do oceny</x:v>
      </x:c>
      <x:c r="J14" s="65"/>
      <x:c r="K14" s="59" t="str">
        <x:v>Nowa propozycja · do selekcji</x:v>
      </x:c>
      <x:c r="L14" s="62" t="str">
        <x:v>S58 · Alchemik Jadowych Korzeni
Nałóż na wybraną wrogą jednostkę truciznę: 2 obrażenia przez 2 jej własne tury.
Co 3 własne tury na ręce: +1 do ŁĄCZNYCH obrażeń z jednej porcji trucizny; czas trwania bez zmian.</x:v>
      </x:c>
      <x:c r="M14" t="str">
        <x:v>Elfy</x:v>
      </x:c>
      <x:c r="N14" s="91" t="str">
        <x:v>Co 3 własne tury na ręce: +1 do ŁĄCZNYCH obrażeń z jednej porcji trucizny; czas trwania bez zmian.</x:v>
      </x:c>
    </x:row>
    <x:row r="15" ht="67" customHeight="1">
      <x:c r="A15" s="59" t="str">
        <x:v>S59</x:v>
      </x:c>
      <x:c r="B15" s="59" t="str">
        <x:v>Przy wystawieniu</x:v>
      </x:c>
      <x:c r="C15" s="59" t="str">
        <x:v>Ogłuszenie</x:v>
      </x:c>
      <x:c r="D15" s="59" t="str">
        <x:v>Tkaczka Uśpienia</x:v>
      </x:c>
      <x:c r="E15" s="220" t="n">
        <x:v>1</x:v>
      </x:c>
      <x:c r="F15" s="220" t="n">
        <x:v>6</x:v>
      </x:c>
      <x:c r="G15" s="62" t="str">
        <x:v>Ogłusz wybraną wrogą jednostkę na 1 jej własną turę i zadaj jej 1 obrażenie.</x:v>
      </x:c>
      <x:c r="H15" s="59"/>
      <x:c r="I15" s="64" t="str">
        <x:v>Do oceny</x:v>
      </x:c>
      <x:c r="J15" s="65"/>
      <x:c r="K15" s="59" t="str">
        <x:v>Nowa propozycja · do selekcji</x:v>
      </x:c>
      <x:c r="L15" s="62" t="str">
        <x:v>S59 · Tkaczka Uśpienia
Ogłusz wybraną wrogą jednostkę na 1 jej własną turę i zadaj jej 1 obrażenie.
Co 3 własne tury na ręce: zdolność przy nałożeniu ogłuszenia zadaje dodatkowo +1 obrażenie; czas ogłuszenia nadal 1 własna tura.</x:v>
      </x:c>
      <x:c r="M15" t="str">
        <x:v>Elfy</x:v>
      </x:c>
      <x:c r="N15" s="91" t="str">
        <x:v>Co 3 własne tury na ręce: zdolność przy nałożeniu ogłuszenia zadaje dodatkowo +1 obrażenie; czas ogłuszenia nadal 1 własna tura.</x:v>
      </x:c>
    </x:row>
    <x:row r="16" ht="67" customHeight="1">
      <x:c r="A16" s="59" t="str">
        <x:v>S60</x:v>
      </x:c>
      <x:c r="B16" s="59" t="str">
        <x:v>Przy wystawieniu</x:v>
      </x:c>
      <x:c r="C16" s="59" t="str">
        <x:v>Regeneracja</x:v>
      </x:c>
      <x:c r="D16" s="59" t="str">
        <x:v>Druid Odnowy</x:v>
      </x:c>
      <x:c r="E16" s="220" t="n">
        <x:v>3</x:v>
      </x:c>
      <x:c r="F16" s="220" t="n">
        <x:v>6</x:v>
      </x:c>
      <x:c r="G16" s="62" t="str">
        <x:v>Nałóż na wybraną sojuszniczą jednostkę regenerację 3 HP przez 2 jej własne tury.</x:v>
      </x:c>
      <x:c r="H16" s="59"/>
      <x:c r="I16" s="64" t="str">
        <x:v>Do oceny</x:v>
      </x:c>
      <x:c r="J16" s="65"/>
      <x:c r="K16" s="59" t="str">
        <x:v>Nowa propozycja · do selekcji</x:v>
      </x:c>
      <x:c r="L16" s="62" t="str">
        <x:v>S60 · Druid Odnowy
Nałóż na wybraną sojuszniczą jednostkę regenerację 3 HP przez 2 jej własne tury.
Co 3 własne tury na ręce: +1 do ŁĄCZNEGO leczenia z jednej porcji regeneracji; czas trwania bez zmian.</x:v>
      </x:c>
      <x:c r="M16" t="str">
        <x:v>Elfy</x:v>
      </x:c>
      <x:c r="N16" s="91" t="str">
        <x:v>Co 3 własne tury na ręce: +1 do ŁĄCZNEGO leczenia z jednej porcji regeneracji; czas trwania bez zmian.</x:v>
      </x:c>
    </x:row>
    <x:row r="17" ht="67" customHeight="1">
      <x:c r="A17" s="59" t="str">
        <x:v>S61</x:v>
      </x:c>
      <x:c r="B17" s="59" t="str">
        <x:v>Przy wystawieniu</x:v>
      </x:c>
      <x:c r="C17" s="59" t="str">
        <x:v>Prowokacja</x:v>
      </x:c>
      <x:c r="D17" s="59" t="str">
        <x:v>Władczyni Leśnych Więzów</x:v>
      </x:c>
      <x:c r="E17" s="220" t="n">
        <x:v>3</x:v>
      </x:c>
      <x:c r="F17" s="220" t="n">
        <x:v>7</x:v>
      </x:c>
      <x:c r="G17" s="62" t="str">
        <x:v>Nadaj wybranej sojuszniczej jednostce prowokację do jej opuszczenia planszy.</x:v>
      </x:c>
      <x:c r="H17" s="59"/>
      <x:c r="I17" s="64" t="str">
        <x:v>Do oceny</x:v>
      </x:c>
      <x:c r="J17" s="65"/>
      <x:c r="K17" s="59" t="str">
        <x:v>Nowa propozycja · do selekcji</x:v>
      </x:c>
      <x:c r="L17" s="62" t="str">
        <x:v>S61 · Władczyni Leśnych Więzów
Nadaj wybranej sojuszniczej jednostce prowokację do jej opuszczenia planszy.
Co 3 własne tury na ręce: dodatkowo +3 MAX HP (czas prowokacji bez zmian).</x:v>
      </x:c>
      <x:c r="M17" t="str">
        <x:v>Elfy</x:v>
      </x:c>
      <x:c r="N17" s="91" t="str">
        <x:v>Co 3 własne tury na ręce: dodatkowo +3 MAX HP (czas prowokacji bez zmian).</x:v>
      </x:c>
    </x:row>
    <x:row r="18" ht="67" customHeight="1">
      <x:c r="A18" s="59" t="str">
        <x:v>S07</x:v>
      </x:c>
      <x:c r="B18" s="59" t="str">
        <x:v>Przy wystawieniu</x:v>
      </x:c>
      <x:c r="C18" s="59" t="str">
        <x:v>Oczyszczanie</x:v>
      </x:c>
      <x:c r="D18" s="59" t="str">
        <x:v>Kapłanka Oczyszczenia</x:v>
      </x:c>
      <x:c r="E18" s="220" t="n">
        <x:v>2</x:v>
      </x:c>
      <x:c r="F18" s="220" t="n">
        <x:v>6</x:v>
      </x:c>
      <x:c r="G18" s="62" t="str">
        <x:v>Usuń z wybranej własnej jednostki wszystkie tymczasowe negatywne efekty albo z wrogiej wszystkie tymczasowe pozytywne efekty; dodatkowo ulecz własny cel o 1 HP, jeżeli taki był wybrany.</x:v>
      </x:c>
      <x:c r="H18" s="59"/>
      <x:c r="I18" s="64" t="str">
        <x:v>Do oceny</x:v>
      </x:c>
      <x:c r="J18" s="65"/>
      <x:c r="K18" s="59" t="str">
        <x:v>Z poprzedniego katalogu</x:v>
      </x:c>
      <x:c r="L18" s="62" t="str">
        <x:v>S07 · Kapłanka Oczyszczenia
Usuń z wybranej własnej jednostki wszystkie tymczasowe negatywne efekty albo z wrogiej wszystkie tymczasowe pozytywne efekty; dodatkowo ulecz własny cel o 1 HP, jeżeli taki był wybrany.
Co 3 własne tury na ręce: za każde użyteczne oczyszczenie ulecz własny cel o dodatkowe 1 HP lub zadaj wrogiemu celowi dodatkowe 1 obrażenie.</x:v>
      </x:c>
      <x:c r="M18" t="str">
        <x:v>Elfy</x:v>
      </x:c>
      <x:c r="N18" s="91" t="str">
        <x:v>Co 3 własne tury na ręce: za każde użyteczne oczyszczenie ulecz własny cel o dodatkowe 1 HP lub zadaj wrogiemu celowi dodatkowe 1 obrażenie.</x:v>
      </x:c>
    </x:row>
    <x:row r="19" ht="67" customHeight="1">
      <x:c r="A19" s="59" t="str">
        <x:v>S64</x:v>
      </x:c>
      <x:c r="B19" s="59" t="str">
        <x:v>Przy wystawieniu</x:v>
      </x:c>
      <x:c r="C19" s="59" t="str">
        <x:v>Odporność</x:v>
      </x:c>
      <x:c r="D19" s="59" t="str">
        <x:v>Strażnik Zaklęć Ochronnych</x:v>
      </x:c>
      <x:c r="E19" s="220" t="n">
        <x:v>4</x:v>
      </x:c>
      <x:c r="F19" s="220" t="n">
        <x:v>6</x:v>
      </x:c>
      <x:c r="G19" s="62" t="str">
        <x:v>Nadaj wybranej własnej jednostce odporność na truciznę do jej opuszczenia planszy.</x:v>
      </x:c>
      <x:c r="H19" s="59"/>
      <x:c r="I19" s="64" t="str">
        <x:v>Do oceny</x:v>
      </x:c>
      <x:c r="J19" s="65"/>
      <x:c r="K19" s="59" t="str">
        <x:v>Nowa propozycja · do selekcji</x:v>
      </x:c>
      <x:c r="L19" s="62" t="str">
        <x:v>S64 · Strażnik Zaklęć Ochronnych
Nadaj wybranej własnej jednostce odporność na truciznę do jej opuszczenia planszy.
Co 3 własne tury na ręce: przy pierwszej aktywacji zdolności po wystawieniu przyznaj dodatkowo 1 trwałego pancerza chronionej jednostce (za każdy poziom).</x:v>
      </x:c>
      <x:c r="M19" t="str">
        <x:v>Elfy</x:v>
      </x:c>
      <x:c r="N19" s="91" t="str">
        <x:v>Co 3 własne tury na ręce: przy pierwszej aktywacji zdolności po wystawieniu przyznaj dodatkowo 1 trwałego pancerza chronionej jednostce (za każdy poziom).</x:v>
      </x:c>
    </x:row>
    <x:row r="20" ht="67" customHeight="1">
      <x:c r="A20" s="59" t="str">
        <x:v>S66</x:v>
      </x:c>
      <x:c r="B20" s="59" t="str">
        <x:v>Przy wystawieniu</x:v>
      </x:c>
      <x:c r="C20" s="59" t="str">
        <x:v>Szybki atak</x:v>
      </x:c>
      <x:c r="D20" s="59" t="str">
        <x:v>Mag Migotliwego Kroku</x:v>
      </x:c>
      <x:c r="E20" s="220" t="n">
        <x:v>2</x:v>
      </x:c>
      <x:c r="F20" s="220" t="n">
        <x:v>4</x:v>
      </x:c>
      <x:c r="G20" s="62" t="str">
        <x:v>Ta jednostka może zaatakować w turze, w której została wystawiona.</x:v>
      </x:c>
      <x:c r="H20" s="59"/>
      <x:c r="I20" s="64" t="str">
        <x:v>Do oceny</x:v>
      </x:c>
      <x:c r="J20" s="65"/>
      <x:c r="K20" s="59" t="str">
        <x:v>Nowa propozycja · do selekcji</x:v>
      </x:c>
      <x:c r="L20" s="62" t="str">
        <x:v>S66 · Mag Migotliwego Kroku
Ta jednostka może zaatakować w turze, w której została wystawiona.
Co 3 własne tury na ręce: dodatkowo +2 ATK i +1 MAX HP.</x:v>
      </x:c>
      <x:c r="M20" t="str">
        <x:v>Elfy</x:v>
      </x:c>
      <x:c r="N20" s="91" t="str">
        <x:v>Co 3 własne tury na ręce: dodatkowo +2 ATK i +1 MAX HP.</x:v>
      </x:c>
    </x:row>
    <x:row r="21" ht="67" customHeight="1">
      <x:c r="A21" s="59" t="str">
        <x:v>S67</x:v>
      </x:c>
      <x:c r="B21" s="59" t="str">
        <x:v>Przy wystawieniu</x:v>
      </x:c>
      <x:c r="C21" s="59" t="str">
        <x:v>Podwójny atak</x:v>
      </x:c>
      <x:c r="D21" s="59" t="str">
        <x:v>Zaklinacz Podwójnego Uderzenia</x:v>
      </x:c>
      <x:c r="E21" s="220" t="n">
        <x:v>1</x:v>
      </x:c>
      <x:c r="F21" s="220" t="n">
        <x:v>5</x:v>
      </x:c>
      <x:c r="G21" s="62" t="str">
        <x:v>Ta jednostka otrzymuje Podwójny atak: może atakować dwa razy w każdej własnej turze do opuszczenia planszy.</x:v>
      </x:c>
      <x:c r="H21" s="59"/>
      <x:c r="I21" s="64" t="str">
        <x:v>Do oceny</x:v>
      </x:c>
      <x:c r="J21" s="65"/>
      <x:c r="K21" s="59" t="str">
        <x:v>Nowa propozycja · do selekcji</x:v>
      </x:c>
      <x:c r="L21" s="62" t="str">
        <x:v>S67 · Zaklinacz Podwójnego Uderzenia
Ta jednostka otrzymuje Podwójny atak: może atakować dwa razy w każdej własnej turze do opuszczenia planszy.
Co 3 własne tury na ręce: dodatkowo +2 ATK (liczba ataków bez zmian).</x:v>
      </x:c>
      <x:c r="M21" t="str">
        <x:v>Elfy</x:v>
      </x:c>
      <x:c r="N21" s="91" t="str">
        <x:v>Co 3 własne tury na ręce: dodatkowo +2 ATK (liczba ataków bez zmian).</x:v>
      </x:c>
    </x:row>
    <x:row r="22" ht="67" customHeight="1">
      <x:c r="A22" s="59" t="str">
        <x:v>S09</x:v>
      </x:c>
      <x:c r="B22" s="59" t="str">
        <x:v>Przy ataku</x:v>
      </x:c>
      <x:c r="C22" s="59" t="str">
        <x:v>Obrażenia</x:v>
      </x:c>
      <x:c r="D22" s="59" t="str">
        <x:v>Wilk Szponiasty</x:v>
      </x:c>
      <x:c r="E22" s="220" t="n">
        <x:v>2</x:v>
      </x:c>
      <x:c r="F22" s="220" t="n">
        <x:v>5</x:v>
      </x:c>
      <x:c r="G22" s="62" t="str">
        <x:v>Przed standardową walką zadaj 1 dodatkowe obrażenie celowi ataku.</x:v>
      </x:c>
      <x:c r="H22" s="59"/>
      <x:c r="I22" s="64" t="str">
        <x:v>Do oceny</x:v>
      </x:c>
      <x:c r="J22" s="65"/>
      <x:c r="K22" s="59" t="str">
        <x:v>Z poprzedniego katalogu</x:v>
      </x:c>
      <x:c r="L22" s="62" t="str">
        <x:v>S09 · Wilk Szponiasty
Przed standardową walką zadaj 1 dodatkowe obrażenie celowi ataku.
Co 3 własne tury na ręce: +1 do obrażeń zdolności (za każdy ukończony próg).</x:v>
      </x:c>
      <x:c r="M22" t="str">
        <x:v>Dzikie bestie</x:v>
      </x:c>
      <x:c r="N22" s="91" t="str">
        <x:v>Co 3 własne tury na ręce: +1 do obrażeń zdolności (za każdy ukończony próg).</x:v>
      </x:c>
    </x:row>
    <x:row r="23" ht="67" customHeight="1">
      <x:c r="A23" s="59" t="str">
        <x:v>S10</x:v>
      </x:c>
      <x:c r="B23" s="59" t="str">
        <x:v>Przy ataku</x:v>
      </x:c>
      <x:c r="C23" s="59" t="str">
        <x:v>Leczenie</x:v>
      </x:c>
      <x:c r="D23" s="59" t="str">
        <x:v>Nietoperz Krwiożerca</x:v>
      </x:c>
      <x:c r="E23" s="220" t="n">
        <x:v>2</x:v>
      </x:c>
      <x:c r="F23" s="220" t="n">
        <x:v>6</x:v>
      </x:c>
      <x:c r="G23" s="62" t="str">
        <x:v>Przed standardową walką ulecz tę jednostkę o 2 HP.</x:v>
      </x:c>
      <x:c r="H23" s="59"/>
      <x:c r="I23" s="64" t="str">
        <x:v>Do oceny</x:v>
      </x:c>
      <x:c r="J23" s="65"/>
      <x:c r="K23" s="59" t="str">
        <x:v>Z poprzedniego katalogu</x:v>
      </x:c>
      <x:c r="L23" s="62" t="str">
        <x:v>S10 · Nietoperz Krwiożerca
Przed standardową walką ulecz tę jednostkę o 2 HP.
Co 3 własne tury na ręce: +1 do leczenia ze zdolności.</x:v>
      </x:c>
      <x:c r="M23" t="str">
        <x:v>Dzikie bestie</x:v>
      </x:c>
      <x:c r="N23" s="91" t="str">
        <x:v>Co 3 własne tury na ręce: +1 do leczenia ze zdolności.</x:v>
      </x:c>
    </x:row>
    <x:row r="24" ht="67" customHeight="1">
      <x:c r="A24" s="59" t="str">
        <x:v>S68</x:v>
      </x:c>
      <x:c r="B24" s="59" t="str">
        <x:v>Przy ataku</x:v>
      </x:c>
      <x:c r="C24" s="59" t="str">
        <x:v>ATK ±</x:v>
      </x:c>
      <x:c r="D24" s="59" t="str">
        <x:v>Dzik Bursztynowych Kłów</x:v>
      </x:c>
      <x:c r="E24" s="220" t="n">
        <x:v>1</x:v>
      </x:c>
      <x:c r="F24" s="220" t="n">
        <x:v>6</x:v>
      </x:c>
      <x:c r="G24" s="62" t="str">
        <x:v>Przed standardową walką wybierz: przyznaj sobie +1 ATK albo nałóż −1 ATK na atakowaną wrogą jednostkę, do końca bieżącej tury.</x:v>
      </x:c>
      <x:c r="H24" s="59"/>
      <x:c r="I24" s="64" t="str">
        <x:v>Do oceny</x:v>
      </x:c>
      <x:c r="J24" s="65"/>
      <x:c r="K24" s="59" t="str">
        <x:v>Nowa propozycja · do selekcji</x:v>
      </x:c>
      <x:c r="L24" s="62" t="str">
        <x:v>S68 · Dzik Bursztynowych Kłów
Przed standardową walką wybierz: przyznaj sobie +1 ATK albo nałóż −1 ATK na atakowaną wrogą jednostkę, do końca bieżącej tury.
Co 3 własne tury na ręce: +1 do modułu premii lub osłabienia ATK.</x:v>
      </x:c>
      <x:c r="M24" t="str">
        <x:v>Dzikie bestie</x:v>
      </x:c>
      <x:c r="N24" s="91" t="str">
        <x:v>Co 3 własne tury na ręce: +1 do modułu premii lub osłabienia ATK.</x:v>
      </x:c>
    </x:row>
    <x:row r="25" ht="67" customHeight="1">
      <x:c r="A25" s="59" t="str">
        <x:v>S69</x:v>
      </x:c>
      <x:c r="B25" s="59" t="str">
        <x:v>Przy ataku</x:v>
      </x:c>
      <x:c r="C25" s="59" t="str">
        <x:v>MAX HP ±</x:v>
      </x:c>
      <x:c r="D25" s="59" t="str">
        <x:v>Nosorożec Żelaznoskóry</x:v>
      </x:c>
      <x:c r="E25" s="220" t="n">
        <x:v>3</x:v>
      </x:c>
      <x:c r="F25" s="220" t="n">
        <x:v>7</x:v>
      </x:c>
      <x:c r="G25" s="62" t="str">
        <x:v>Przed standardową walką wybierz: przyznaj sobie +1 MAX HP i +1 aktualnego HP albo obniż MAX HP atakowanej jednostki o 1 do końca jej najbliższej własnej tury.</x:v>
      </x:c>
      <x:c r="H25" s="59"/>
      <x:c r="I25" s="64" t="str">
        <x:v>Do oceny</x:v>
      </x:c>
      <x:c r="J25" s="65"/>
      <x:c r="K25" s="59" t="str">
        <x:v>Nowa propozycja · do selekcji</x:v>
      </x:c>
      <x:c r="L25" s="62" t="str">
        <x:v>S69 · Nosorożec Żelaznoskóry
Przed standardową walką wybierz: przyznaj sobie +1 MAX HP i +1 aktualnego HP albo obniż MAX HP atakowanej jednostki o 1 do końca jej najbliższej własnej tury.
Co 3 własne tury na ręce: +1 do modułu zmiany MAX HP.</x:v>
      </x:c>
      <x:c r="M25" t="str">
        <x:v>Dzikie bestie</x:v>
      </x:c>
      <x:c r="N25" s="91" t="str">
        <x:v>Co 3 własne tury na ręce: +1 do modułu zmiany MAX HP.</x:v>
      </x:c>
    </x:row>
    <x:row r="26" ht="67" customHeight="1">
      <x:c r="A26" s="59" t="str">
        <x:v>S12</x:v>
      </x:c>
      <x:c r="B26" s="59" t="str">
        <x:v>Przy ataku</x:v>
      </x:c>
      <x:c r="C26" s="59" t="str">
        <x:v>Pancerz</x:v>
      </x:c>
      <x:c r="D26" s="59" t="str">
        <x:v>Żarłacz Pancerzy</x:v>
      </x:c>
      <x:c r="E26" s="220" t="n">
        <x:v>4</x:v>
      </x:c>
      <x:c r="F26" s="220" t="n">
        <x:v>5</x:v>
      </x:c>
      <x:c r="G26" s="62" t="str">
        <x:v>Przed standardową walką usuń do 2 punktów pancerza z celu ataku.</x:v>
      </x:c>
      <x:c r="H26" s="59"/>
      <x:c r="I26" s="64" t="str">
        <x:v>Do oceny</x:v>
      </x:c>
      <x:c r="J26" s="65"/>
      <x:c r="K26" s="59" t="str">
        <x:v>Z poprzedniego katalogu</x:v>
      </x:c>
      <x:c r="L26" s="62" t="str">
        <x:v>S12 · Żarłacz Pancerzy
Przed standardową walką usuń do 2 punktów pancerza z celu ataku.
Co 3 własne tury na ręce: +1 do pancerza przyznanego/odebranego przez zdolność.</x:v>
      </x:c>
      <x:c r="M26" t="str">
        <x:v>Dzikie bestie</x:v>
      </x:c>
      <x:c r="N26" s="91" t="str">
        <x:v>Co 3 własne tury na ręce: +1 do pancerza przyznanego/odebranego przez zdolność.</x:v>
      </x:c>
    </x:row>
    <x:row r="27" ht="67" customHeight="1">
      <x:c r="A27" s="59" t="str">
        <x:v>S70</x:v>
      </x:c>
      <x:c r="B27" s="59" t="str">
        <x:v>Przy ataku</x:v>
      </x:c>
      <x:c r="C27" s="59" t="str">
        <x:v>Tarcza</x:v>
      </x:c>
      <x:c r="D27" s="59" t="str">
        <x:v>Żółw Rogaty</x:v>
      </x:c>
      <x:c r="E27" s="220" t="n">
        <x:v>3</x:v>
      </x:c>
      <x:c r="F27" s="220" t="n">
        <x:v>6</x:v>
      </x:c>
      <x:c r="G27" s="62" t="str">
        <x:v>Przed standardową walką daj sobie 1 tarczę, jeśli jeszcze jej nie posiadasz.</x:v>
      </x:c>
      <x:c r="H27" s="59"/>
      <x:c r="I27" s="64" t="str">
        <x:v>Do oceny</x:v>
      </x:c>
      <x:c r="J27" s="65"/>
      <x:c r="K27" s="59" t="str">
        <x:v>Nowa propozycja · do selekcji</x:v>
      </x:c>
      <x:c r="L27" s="62" t="str">
        <x:v>S70 · Żółw Rogaty
Przed standardową walką daj sobie 1 tarczę, jeśli jeszcze jej nie posiadasz.
Co 3 własne tury na ręce: dodatkowo +3 MAX HP (nie zwiększaj liczby tarcz).</x:v>
      </x:c>
      <x:c r="M27" t="str">
        <x:v>Dzikie bestie</x:v>
      </x:c>
      <x:c r="N27" s="91" t="str">
        <x:v>Co 3 własne tury na ręce: dodatkowo +3 MAX HP (nie zwiększaj liczby tarcz).</x:v>
      </x:c>
    </x:row>
    <x:row r="28" ht="67" customHeight="1">
      <x:c r="A28" s="59" t="str">
        <x:v>S11</x:v>
      </x:c>
      <x:c r="B28" s="59" t="str">
        <x:v>Przy ataku</x:v>
      </x:c>
      <x:c r="C28" s="59" t="str">
        <x:v>Trucizna</x:v>
      </x:c>
      <x:c r="D28" s="59" t="str">
        <x:v>Jadowita Żmija</x:v>
      </x:c>
      <x:c r="E28" s="220" t="n">
        <x:v>1</x:v>
      </x:c>
      <x:c r="F28" s="220" t="n">
        <x:v>5</x:v>
      </x:c>
      <x:c r="G28" s="62" t="str">
        <x:v>Nałóż na cel ataku truciznę: 1 obrażenie przez 2 jego własne tury.</x:v>
      </x:c>
      <x:c r="H28" s="59"/>
      <x:c r="I28" s="64" t="str">
        <x:v>Do oceny</x:v>
      </x:c>
      <x:c r="J28" s="65"/>
      <x:c r="K28" s="59" t="str">
        <x:v>Z poprzedniego katalogu</x:v>
      </x:c>
      <x:c r="L28" s="62" t="str">
        <x:v>S11 · Jadowita Żmija
Nałóż na cel ataku truciznę: 1 obrażenie przez 2 jego własne tury.
Co 3 własne tury na ręce: +1 do ŁĄCZNYCH obrażeń z jednej porcji trucizny; czas trwania bez zmian.</x:v>
      </x:c>
      <x:c r="M28" t="str">
        <x:v>Dzikie bestie</x:v>
      </x:c>
      <x:c r="N28" s="91" t="str">
        <x:v>Co 3 własne tury na ręce: +1 do ŁĄCZNYCH obrażeń z jednej porcji trucizny; czas trwania bez zmian.</x:v>
      </x:c>
    </x:row>
    <x:row r="29" ht="67" customHeight="1">
      <x:c r="A29" s="59" t="str">
        <x:v>S15</x:v>
      </x:c>
      <x:c r="B29" s="59" t="str">
        <x:v>Przy ataku</x:v>
      </x:c>
      <x:c r="C29" s="59" t="str">
        <x:v>Ogłuszenie</x:v>
      </x:c>
      <x:c r="D29" s="59" t="str">
        <x:v>Niedźwiedź Grzmotu</x:v>
      </x:c>
      <x:c r="E29" s="220" t="n">
        <x:v>1</x:v>
      </x:c>
      <x:c r="F29" s="220" t="n">
        <x:v>6</x:v>
      </x:c>
      <x:c r="G29" s="62" t="str">
        <x:v>Gdy atakujesz jednostkę, ogłusz ją na 1 jej własną turę przed standardową walką.</x:v>
      </x:c>
      <x:c r="H29" s="59"/>
      <x:c r="I29" s="64" t="str">
        <x:v>Do oceny</x:v>
      </x:c>
      <x:c r="J29" s="65"/>
      <x:c r="K29" s="59" t="str">
        <x:v>Z poprzedniego katalogu</x:v>
      </x:c>
      <x:c r="L29" s="62" t="str">
        <x:v>S15 · Niedźwiedź Grzmotu
Gdy atakujesz jednostkę, ogłusz ją na 1 jej własną turę przed standardową walką.
Co 3 własne tury na ręce: zdolność przy nałożeniu ogłuszenia zadaje dodatkowo +1 obrażenie; czas ogłuszenia nadal 1 własna tura.</x:v>
      </x:c>
      <x:c r="M29" t="str">
        <x:v>Dzikie bestie</x:v>
      </x:c>
      <x:c r="N29" s="91" t="str">
        <x:v>Co 3 własne tury na ręce: zdolność przy nałożeniu ogłuszenia zadaje dodatkowo +1 obrażenie; czas ogłuszenia nadal 1 własna tura.</x:v>
      </x:c>
    </x:row>
    <x:row r="30" ht="67" customHeight="1">
      <x:c r="A30" s="59" t="str">
        <x:v>S71</x:v>
      </x:c>
      <x:c r="B30" s="59" t="str">
        <x:v>Przy ataku</x:v>
      </x:c>
      <x:c r="C30" s="59" t="str">
        <x:v>Regeneracja</x:v>
      </x:c>
      <x:c r="D30" s="59" t="str">
        <x:v>Salamandra Odnowy</x:v>
      </x:c>
      <x:c r="E30" s="220" t="n">
        <x:v>2</x:v>
      </x:c>
      <x:c r="F30" s="220" t="n">
        <x:v>6</x:v>
      </x:c>
      <x:c r="G30" s="62" t="str">
        <x:v>Przed standardową walką nałóż na tę jednostkę regenerację 1 HP przez 2 własne tury.</x:v>
      </x:c>
      <x:c r="H30" s="59"/>
      <x:c r="I30" s="64" t="str">
        <x:v>Do oceny</x:v>
      </x:c>
      <x:c r="J30" s="65"/>
      <x:c r="K30" s="59" t="str">
        <x:v>Nowa propozycja · do selekcji</x:v>
      </x:c>
      <x:c r="L30" s="62" t="str">
        <x:v>S71 · Salamandra Odnowy
Przed standardową walką nałóż na tę jednostkę regenerację 1 HP przez 2 własne tury.
Co 3 własne tury na ręce: +1 do ŁĄCZNEGO leczenia z jednej porcji regeneracji; czas trwania bez zmian.</x:v>
      </x:c>
      <x:c r="M30" t="str">
        <x:v>Dzikie bestie</x:v>
      </x:c>
      <x:c r="N30" s="91" t="str">
        <x:v>Co 3 własne tury na ręce: +1 do ŁĄCZNEGO leczenia z jednej porcji regeneracji; czas trwania bez zmian.</x:v>
      </x:c>
    </x:row>
    <x:row r="31" ht="67" customHeight="1">
      <x:c r="A31" s="59" t="str">
        <x:v>S72</x:v>
      </x:c>
      <x:c r="B31" s="59" t="str">
        <x:v>Przy ataku</x:v>
      </x:c>
      <x:c r="C31" s="59" t="str">
        <x:v>Prowokacja</x:v>
      </x:c>
      <x:c r="D31" s="59" t="str">
        <x:v>Bawół Strażnik</x:v>
      </x:c>
      <x:c r="E31" s="220" t="n">
        <x:v>2</x:v>
      </x:c>
      <x:c r="F31" s="220" t="n">
        <x:v>8</x:v>
      </x:c>
      <x:c r="G31" s="62" t="str">
        <x:v>Przed standardową walką nadaj tej jednostce prowokację do końca jej najbliższej własnej tury.</x:v>
      </x:c>
      <x:c r="H31" s="59"/>
      <x:c r="I31" s="64" t="str">
        <x:v>Do oceny</x:v>
      </x:c>
      <x:c r="J31" s="65"/>
      <x:c r="K31" s="59" t="str">
        <x:v>Nowa propozycja · do selekcji</x:v>
      </x:c>
      <x:c r="L31" s="62" t="str">
        <x:v>S72 · Bawół Strażnik
Przed standardową walką nadaj tej jednostce prowokację do końca jej najbliższej własnej tury.
Co 3 własne tury na ręce: dodatkowo +3 MAX HP (czas prowokacji bez zmian).</x:v>
      </x:c>
      <x:c r="M31" t="str">
        <x:v>Dzikie bestie</x:v>
      </x:c>
      <x:c r="N31" s="91" t="str">
        <x:v>Co 3 własne tury na ręce: dodatkowo +3 MAX HP (czas prowokacji bez zmian).</x:v>
      </x:c>
    </x:row>
    <x:row r="32" ht="67" customHeight="1">
      <x:c r="A32" s="59" t="str">
        <x:v>S74</x:v>
      </x:c>
      <x:c r="B32" s="59" t="str">
        <x:v>Przy ataku</x:v>
      </x:c>
      <x:c r="C32" s="59" t="str">
        <x:v>Oczyszczanie</x:v>
      </x:c>
      <x:c r="D32" s="59" t="str">
        <x:v>Lis Oczyszczający</x:v>
      </x:c>
      <x:c r="E32" s="220" t="n">
        <x:v>1</x:v>
      </x:c>
      <x:c r="F32" s="220" t="n">
        <x:v>6</x:v>
      </x:c>
      <x:c r="G32" s="62" t="str">
        <x:v>Gdy atakujesz jednostkę, usuń z niej wszystkie tymczasowe pozytywne efekty przed standardową walką.</x:v>
      </x:c>
      <x:c r="H32" s="59"/>
      <x:c r="I32" s="64" t="str">
        <x:v>Do oceny</x:v>
      </x:c>
      <x:c r="J32" s="65"/>
      <x:c r="K32" s="59" t="str">
        <x:v>Nowa propozycja · do selekcji</x:v>
      </x:c>
      <x:c r="L32" s="62" t="str">
        <x:v>S74 · Lis Oczyszczający
Gdy atakujesz jednostkę, usuń z niej wszystkie tymczasowe pozytywne efekty przed standardową walką.
Co 3 własne tury na ręce: za każde użyteczne oczyszczenie ulecz własny cel o dodatkowe 1 HP lub zadaj wrogiemu celowi dodatkowe 1 obrażenie.</x:v>
      </x:c>
      <x:c r="M32" t="str">
        <x:v>Dzikie bestie</x:v>
      </x:c>
      <x:c r="N32" s="91" t="str">
        <x:v>Co 3 własne tury na ręce: za każde użyteczne oczyszczenie ulecz własny cel o dodatkowe 1 HP lub zadaj wrogiemu celowi dodatkowe 1 obrażenie.</x:v>
      </x:c>
    </x:row>
    <x:row r="33" ht="67" customHeight="1">
      <x:c r="A33" s="59" t="str">
        <x:v>S76</x:v>
      </x:c>
      <x:c r="B33" s="59" t="str">
        <x:v>Przy ataku</x:v>
      </x:c>
      <x:c r="C33" s="59" t="str">
        <x:v>Odporność</x:v>
      </x:c>
      <x:c r="D33" s="59" t="str">
        <x:v>Miodożer Nieugięty</x:v>
      </x:c>
      <x:c r="E33" s="220" t="n">
        <x:v>4</x:v>
      </x:c>
      <x:c r="F33" s="220" t="n">
        <x:v>6</x:v>
      </x:c>
      <x:c r="G33" s="62" t="str">
        <x:v>Przed standardową walką zyskaj odporność na ogłuszenie do końca własnej najbliższej tury.</x:v>
      </x:c>
      <x:c r="H33" s="59"/>
      <x:c r="I33" s="64" t="str">
        <x:v>Do oceny</x:v>
      </x:c>
      <x:c r="J33" s="65"/>
      <x:c r="K33" s="59" t="str">
        <x:v>Nowa propozycja · do selekcji</x:v>
      </x:c>
      <x:c r="L33" s="62" t="str">
        <x:v>S76 · Miodożer Nieugięty
Przed standardową walką zyskaj odporność na ogłuszenie do końca własnej najbliższej tury.
Co 3 własne tury na ręce: przy pierwszej aktywacji zdolności po wystawieniu przyznaj dodatkowo 1 trwałego pancerza chronionej jednostce (za każdy poziom).</x:v>
      </x:c>
      <x:c r="M33" t="str">
        <x:v>Dzikie bestie</x:v>
      </x:c>
      <x:c r="N33" s="91" t="str">
        <x:v>Co 3 własne tury na ręce: przy pierwszej aktywacji zdolności po wystawieniu przyznaj dodatkowo 1 trwałego pancerza chronionej jednostce (za każdy poziom).</x:v>
      </x:c>
    </x:row>
    <x:row r="34" ht="67" customHeight="1">
      <x:c r="A34" s="59" t="str">
        <x:v>S78</x:v>
      </x:c>
      <x:c r="B34" s="59" t="str">
        <x:v>Przy ataku</x:v>
      </x:c>
      <x:c r="C34" s="59" t="str">
        <x:v>Szybki atak</x:v>
      </x:c>
      <x:c r="D34" s="59" t="str">
        <x:v>Gepard Burzowy</x:v>
      </x:c>
      <x:c r="E34" s="220" t="n">
        <x:v>2</x:v>
      </x:c>
      <x:c r="F34" s="220" t="n">
        <x:v>4</x:v>
      </x:c>
      <x:c r="G34" s="62" t="str">
        <x:v>Przed standardową walką nadaj wybranej innej sojuszniczej jednostce wystawionej w tej turze możliwość atakowania już teraz.</x:v>
      </x:c>
      <x:c r="H34" s="59"/>
      <x:c r="I34" s="64" t="str">
        <x:v>Do oceny</x:v>
      </x:c>
      <x:c r="J34" s="65"/>
      <x:c r="K34" s="59" t="str">
        <x:v>Nowa propozycja · do selekcji</x:v>
      </x:c>
      <x:c r="L34" s="62" t="str">
        <x:v>S78 · Gepard Burzowy
Przed standardową walką nadaj wybranej innej sojuszniczej jednostce wystawionej w tej turze możliwość atakowania już teraz.
Co 3 własne tury na ręce: dodatkowo +2 ATK i +1 MAX HP.</x:v>
      </x:c>
      <x:c r="M34" t="str">
        <x:v>Dzikie bestie</x:v>
      </x:c>
      <x:c r="N34" s="91" t="str">
        <x:v>Co 3 własne tury na ręce: dodatkowo +2 ATK i +1 MAX HP.</x:v>
      </x:c>
    </x:row>
    <x:row r="35" ht="67" customHeight="1">
      <x:c r="A35" s="59" t="str">
        <x:v>S79</x:v>
      </x:c>
      <x:c r="B35" s="59" t="str">
        <x:v>Przy ataku</x:v>
      </x:c>
      <x:c r="C35" s="59" t="str">
        <x:v>Podwójny atak</x:v>
      </x:c>
      <x:c r="D35" s="59" t="str">
        <x:v>Dwugłowa Hiena</x:v>
      </x:c>
      <x:c r="E35" s="220" t="n">
        <x:v>1</x:v>
      </x:c>
      <x:c r="F35" s="220" t="n">
        <x:v>5</x:v>
      </x:c>
      <x:c r="G35" s="62" t="str">
        <x:v>Gdy wykonujesz pierwszy atak w tej turze, otrzymaj Podwójny atak do końca bieżącej tury: możesz zaatakować drugi raz.</x:v>
      </x:c>
      <x:c r="H35" s="59"/>
      <x:c r="I35" s="64" t="str">
        <x:v>Do oceny</x:v>
      </x:c>
      <x:c r="J35" s="65"/>
      <x:c r="K35" s="59" t="str">
        <x:v>Nowa propozycja · do selekcji</x:v>
      </x:c>
      <x:c r="L35" s="62" t="str">
        <x:v>S79 · Dwugłowa Hiena
Gdy wykonujesz pierwszy atak w tej turze, otrzymaj Podwójny atak do końca bieżącej tury: możesz zaatakować drugi raz.
Co 3 własne tury na ręce: dodatkowo +2 ATK (liczba ataków bez zmian).</x:v>
      </x:c>
      <x:c r="M35" t="str">
        <x:v>Dzikie bestie</x:v>
      </x:c>
      <x:c r="N35" s="91" t="str">
        <x:v>Co 3 własne tury na ręce: dodatkowo +2 ATK (liczba ataków bez zmian).</x:v>
      </x:c>
    </x:row>
    <x:row r="36" ht="67" customHeight="1">
      <x:c r="A36" s="59" t="str">
        <x:v>S21</x:v>
      </x:c>
      <x:c r="B36" s="59" t="str">
        <x:v>Przy śmierci</x:v>
      </x:c>
      <x:c r="C36" s="59" t="str">
        <x:v>Obrażenia</x:v>
      </x:c>
      <x:c r="D36" s="59" t="str">
        <x:v>Widmo Otchłani</x:v>
      </x:c>
      <x:c r="E36" s="220" t="n">
        <x:v>1</x:v>
      </x:c>
      <x:c r="F36" s="220" t="n">
        <x:v>4</x:v>
      </x:c>
      <x:c r="G36" s="62" t="str">
        <x:v>Zadaj 4 obrażenia wrogiemu bohaterowi.</x:v>
      </x:c>
      <x:c r="H36" s="59"/>
      <x:c r="I36" s="64" t="str">
        <x:v>Do oceny</x:v>
      </x:c>
      <x:c r="J36" s="65"/>
      <x:c r="K36" s="59" t="str">
        <x:v>Z poprzedniego katalogu</x:v>
      </x:c>
      <x:c r="L36" s="62" t="str">
        <x:v>S21 · Widmo Otchłani
Zadaj 4 obrażenia wrogiemu bohaterowi.
Co 3 własne tury na ręce: +1 do obrażeń zdolności (za każdy ukończony próg).</x:v>
      </x:c>
      <x:c r="M36" t="str">
        <x:v>Potwory</x:v>
      </x:c>
      <x:c r="N36" s="91" t="str">
        <x:v>Co 3 własne tury na ręce: +1 do obrażeń zdolności (za każdy ukończony próg).</x:v>
      </x:c>
    </x:row>
    <x:row r="37" ht="67" customHeight="1">
      <x:c r="A37" s="59" t="str">
        <x:v>S17</x:v>
      </x:c>
      <x:c r="B37" s="59" t="str">
        <x:v>Przy śmierci</x:v>
      </x:c>
      <x:c r="C37" s="59" t="str">
        <x:v>Leczenie</x:v>
      </x:c>
      <x:c r="D37" s="59" t="str">
        <x:v>Duch Ostatniej Łaski</x:v>
      </x:c>
      <x:c r="E37" s="220" t="n">
        <x:v>3</x:v>
      </x:c>
      <x:c r="F37" s="220" t="n">
        <x:v>8</x:v>
      </x:c>
      <x:c r="G37" s="62" t="str">
        <x:v>Ulecz własnego bohatera o 6 HP.</x:v>
      </x:c>
      <x:c r="H37" s="59"/>
      <x:c r="I37" s="64" t="str">
        <x:v>Do oceny</x:v>
      </x:c>
      <x:c r="J37" s="65"/>
      <x:c r="K37" s="59" t="str">
        <x:v>Z poprzedniego katalogu</x:v>
      </x:c>
      <x:c r="L37" s="62" t="str">
        <x:v>S17 · Duch Ostatniej Łaski
Ulecz własnego bohatera o 6 HP.
Co 3 własne tury na ręce: +1 do leczenia ze zdolności.</x:v>
      </x:c>
      <x:c r="M37" t="str">
        <x:v>Potwory</x:v>
      </x:c>
      <x:c r="N37" s="91" t="str">
        <x:v>Co 3 własne tury na ręce: +1 do leczenia ze zdolności.</x:v>
      </x:c>
    </x:row>
    <x:row r="38" ht="67" customHeight="1">
      <x:c r="A38" s="59" t="str">
        <x:v>S23</x:v>
      </x:c>
      <x:c r="B38" s="59" t="str">
        <x:v>Przy śmierci</x:v>
      </x:c>
      <x:c r="C38" s="59" t="str">
        <x:v>ATK ±</x:v>
      </x:c>
      <x:c r="D38" s="59" t="str">
        <x:v>Klątwonosiciel</x:v>
      </x:c>
      <x:c r="E38" s="220" t="n">
        <x:v>1</x:v>
      </x:c>
      <x:c r="F38" s="220" t="n">
        <x:v>3</x:v>
      </x:c>
      <x:c r="G38" s="62" t="str">
        <x:v>Wybierz: przyznaj pozostałej własnej jednostce +2 ATK albo nałóż −2 ATK na wrogą jednostkę; efekt trwa do opuszczenia planszy przez cel.</x:v>
      </x:c>
      <x:c r="H38" s="59"/>
      <x:c r="I38" s="64" t="str">
        <x:v>Do oceny</x:v>
      </x:c>
      <x:c r="J38" s="65"/>
      <x:c r="K38" s="59" t="str">
        <x:v>Z poprzedniego katalogu</x:v>
      </x:c>
      <x:c r="L38" s="62" t="str">
        <x:v>S23 · Klątwonosiciel
Wybierz: przyznaj pozostałej własnej jednostce +2 ATK albo nałóż −2 ATK na wrogą jednostkę; efekt trwa do opuszczenia planszy przez cel.
Co 3 własne tury na ręce: +1 do modułu premii lub osłabienia ATK.</x:v>
      </x:c>
      <x:c r="M38" t="str">
        <x:v>Potwory</x:v>
      </x:c>
      <x:c r="N38" s="91" t="str">
        <x:v>Co 3 własne tury na ręce: +1 do modułu premii lub osłabienia ATK.</x:v>
      </x:c>
    </x:row>
    <x:row r="39" ht="67" customHeight="1">
      <x:c r="A39" s="59" t="str">
        <x:v>S81</x:v>
      </x:c>
      <x:c r="B39" s="59" t="str">
        <x:v>Przy śmierci</x:v>
      </x:c>
      <x:c r="C39" s="59" t="str">
        <x:v>MAX HP ±</x:v>
      </x:c>
      <x:c r="D39" s="59" t="str">
        <x:v>Krwawy Homunkulus</x:v>
      </x:c>
      <x:c r="E39" s="220" t="n">
        <x:v>4</x:v>
      </x:c>
      <x:c r="F39" s="220" t="n">
        <x:v>7</x:v>
      </x:c>
      <x:c r="G39" s="62" t="str">
        <x:v>Wybierz: przyznaj pozostałej własnej jednostce +5 MAX HP i +5 aktualnego HP albo zmniejsz MAX HP wrogiej jednostki o 5. Efekt trwa do opuszczenia planszy przez cel.</x:v>
      </x:c>
      <x:c r="H39" s="59"/>
      <x:c r="I39" s="64" t="str">
        <x:v>Do oceny</x:v>
      </x:c>
      <x:c r="J39" s="65"/>
      <x:c r="K39" s="59" t="str">
        <x:v>Nowa propozycja · do selekcji</x:v>
      </x:c>
      <x:c r="L39" s="62" t="str">
        <x:v>S81 · Krwawy Homunkulus
Wybierz: przyznaj pozostałej własnej jednostce +5 MAX HP i +5 aktualnego HP albo zmniejsz MAX HP wrogiej jednostki o 5. Efekt trwa do opuszczenia planszy przez cel.
Co 3 własne tury na ręce: +1 do modułu zmiany MAX HP.</x:v>
      </x:c>
      <x:c r="M39" t="str">
        <x:v>Potwory</x:v>
      </x:c>
      <x:c r="N39" s="91" t="str">
        <x:v>Co 3 własne tury na ręce: +1 do modułu zmiany MAX HP.</x:v>
      </x:c>
    </x:row>
    <x:row r="40" ht="67" customHeight="1">
      <x:c r="A40" s="59" t="str">
        <x:v>S82</x:v>
      </x:c>
      <x:c r="B40" s="59" t="str">
        <x:v>Przy śmierci</x:v>
      </x:c>
      <x:c r="C40" s="59" t="str">
        <x:v>Pancerz</x:v>
      </x:c>
      <x:c r="D40" s="59" t="str">
        <x:v>Golem Grobowy</x:v>
      </x:c>
      <x:c r="E40" s="220" t="n">
        <x:v>3</x:v>
      </x:c>
      <x:c r="F40" s="220" t="n">
        <x:v>7</x:v>
      </x:c>
      <x:c r="G40" s="62" t="str">
        <x:v>Przyznaj 6 trwałego pancerza wybranej pozostałej sojuszniczej jednostce.</x:v>
      </x:c>
      <x:c r="H40" s="59"/>
      <x:c r="I40" s="64" t="str">
        <x:v>Do oceny</x:v>
      </x:c>
      <x:c r="J40" s="65"/>
      <x:c r="K40" s="59" t="str">
        <x:v>Nowa propozycja · do selekcji</x:v>
      </x:c>
      <x:c r="L40" s="62" t="str">
        <x:v>S82 · Golem Grobowy
Przyznaj 6 trwałego pancerza wybranej pozostałej sojuszniczej jednostce.
Co 3 własne tury na ręce: +1 do pancerza przyznanego/odebranego przez zdolność.</x:v>
      </x:c>
      <x:c r="M40" t="str">
        <x:v>Potwory</x:v>
      </x:c>
      <x:c r="N40" s="91" t="str">
        <x:v>Co 3 własne tury na ręce: +1 do pancerza przyznanego/odebranego przez zdolność.</x:v>
      </x:c>
    </x:row>
    <x:row r="41" ht="67" customHeight="1">
      <x:c r="A41" s="59" t="str">
        <x:v>S20</x:v>
      </x:c>
      <x:c r="B41" s="59" t="str">
        <x:v>Przy śmierci</x:v>
      </x:c>
      <x:c r="C41" s="59" t="str">
        <x:v>Tarcza</x:v>
      </x:c>
      <x:c r="D41" s="59" t="str">
        <x:v>Strażnik Mauzoleum</x:v>
      </x:c>
      <x:c r="E41" s="220" t="n">
        <x:v>4</x:v>
      </x:c>
      <x:c r="F41" s="220" t="n">
        <x:v>7</x:v>
      </x:c>
      <x:c r="G41" s="62" t="str">
        <x:v>Przyznaj tarczę wybranej pozostałej sojuszniczej jednostce i 2 trwałego pancerza temu samemu celowi.</x:v>
      </x:c>
      <x:c r="H41" s="59"/>
      <x:c r="I41" s="64" t="str">
        <x:v>Do oceny</x:v>
      </x:c>
      <x:c r="J41" s="65"/>
      <x:c r="K41" s="59" t="str">
        <x:v>Z poprzedniego katalogu</x:v>
      </x:c>
      <x:c r="L41" s="62" t="str">
        <x:v>S20 · Strażnik Mauzoleum
Przyznaj tarczę wybranej pozostałej sojuszniczej jednostce i 2 trwałego pancerza temu samemu celowi.
Co 3 własne tury na ręce: dodatkowo +3 MAX HP (nie zwiększaj liczby tarcz).</x:v>
      </x:c>
      <x:c r="M41" t="str">
        <x:v>Potwory</x:v>
      </x:c>
      <x:c r="N41" s="91" t="str">
        <x:v>Co 3 własne tury na ręce: dodatkowo +3 MAX HP (nie zwiększaj liczby tarcz).</x:v>
      </x:c>
    </x:row>
    <x:row r="42" ht="67" customHeight="1">
      <x:c r="A42" s="59" t="str">
        <x:v>S83</x:v>
      </x:c>
      <x:c r="B42" s="59" t="str">
        <x:v>Przy śmierci</x:v>
      </x:c>
      <x:c r="C42" s="59" t="str">
        <x:v>Trucizna</x:v>
      </x:c>
      <x:c r="D42" s="59" t="str">
        <x:v>Nosiciel Plagi</x:v>
      </x:c>
      <x:c r="E42" s="220" t="n">
        <x:v>1</x:v>
      </x:c>
      <x:c r="F42" s="220" t="n">
        <x:v>5</x:v>
      </x:c>
      <x:c r="G42" s="62" t="str">
        <x:v>Nałóż na wybraną wrogą jednostkę truciznę: 2 obrażenia przez 3 jej własne tury.</x:v>
      </x:c>
      <x:c r="H42" s="59"/>
      <x:c r="I42" s="64" t="str">
        <x:v>Do oceny</x:v>
      </x:c>
      <x:c r="J42" s="65"/>
      <x:c r="K42" s="59" t="str">
        <x:v>Nowa propozycja · do selekcji</x:v>
      </x:c>
      <x:c r="L42" s="62" t="str">
        <x:v>S83 · Nosiciel Plagi
Nałóż na wybraną wrogą jednostkę truciznę: 2 obrażenia przez 3 jej własne tury.
Co 3 własne tury na ręce: +1 do ŁĄCZNYCH obrażeń z jednej porcji trucizny; czas trwania bez zmian.</x:v>
      </x:c>
      <x:c r="M42" t="str">
        <x:v>Potwory</x:v>
      </x:c>
      <x:c r="N42" s="91" t="str">
        <x:v>Co 3 własne tury na ręce: +1 do ŁĄCZNYCH obrażeń z jednej porcji trucizny; czas trwania bez zmian.</x:v>
      </x:c>
    </x:row>
    <x:row r="43" ht="67" customHeight="1">
      <x:c r="A43" s="59" t="str">
        <x:v>S84</x:v>
      </x:c>
      <x:c r="B43" s="59" t="str">
        <x:v>Przy śmierci</x:v>
      </x:c>
      <x:c r="C43" s="59" t="str">
        <x:v>Ogłuszenie</x:v>
      </x:c>
      <x:c r="D43" s="59" t="str">
        <x:v>Banshee Krzyku</x:v>
      </x:c>
      <x:c r="E43" s="220" t="n">
        <x:v>1</x:v>
      </x:c>
      <x:c r="F43" s="220" t="n">
        <x:v>4</x:v>
      </x:c>
      <x:c r="G43" s="62" t="str">
        <x:v>Ogłusz wybraną wrogą jednostkę na 1 jej własną turę i zadaj jej 2 obrażenia.</x:v>
      </x:c>
      <x:c r="H43" s="59"/>
      <x:c r="I43" s="64" t="str">
        <x:v>Do oceny</x:v>
      </x:c>
      <x:c r="J43" s="65"/>
      <x:c r="K43" s="59" t="str">
        <x:v>Nowa propozycja · do selekcji</x:v>
      </x:c>
      <x:c r="L43" s="62" t="str">
        <x:v>S84 · Banshee Krzyku
Ogłusz wybraną wrogą jednostkę na 1 jej własną turę i zadaj jej 2 obrażenia.
Co 3 własne tury na ręce: zdolność przy nałożeniu ogłuszenia zadaje dodatkowo +1 obrażenie; czas ogłuszenia nadal 1 własna tura.</x:v>
      </x:c>
      <x:c r="M43" t="str">
        <x:v>Potwory</x:v>
      </x:c>
      <x:c r="N43" s="91" t="str">
        <x:v>Co 3 własne tury na ręce: zdolność przy nałożeniu ogłuszenia zadaje dodatkowo +1 obrażenie; czas ogłuszenia nadal 1 własna tura.</x:v>
      </x:c>
    </x:row>
    <x:row r="44" ht="67" customHeight="1">
      <x:c r="A44" s="59" t="str">
        <x:v>S85</x:v>
      </x:c>
      <x:c r="B44" s="59" t="str">
        <x:v>Przy śmierci</x:v>
      </x:c>
      <x:c r="C44" s="59" t="str">
        <x:v>Regeneracja</x:v>
      </x:c>
      <x:c r="D44" s="59" t="str">
        <x:v>Życiodajne Widmo</x:v>
      </x:c>
      <x:c r="E44" s="220" t="n">
        <x:v>3</x:v>
      </x:c>
      <x:c r="F44" s="220" t="n">
        <x:v>6</x:v>
      </x:c>
      <x:c r="G44" s="62" t="str">
        <x:v>Nałóż na wybraną pozostałą sojuszniczą jednostkę regenerację 3 HP przez 3 jej własne tury.</x:v>
      </x:c>
      <x:c r="H44" s="59"/>
      <x:c r="I44" s="64" t="str">
        <x:v>Do oceny</x:v>
      </x:c>
      <x:c r="J44" s="65"/>
      <x:c r="K44" s="59" t="str">
        <x:v>Nowa propozycja · do selekcji</x:v>
      </x:c>
      <x:c r="L44" s="62" t="str">
        <x:v>S85 · Życiodajne Widmo
Nałóż na wybraną pozostałą sojuszniczą jednostkę regenerację 3 HP przez 3 jej własne tury.
Co 3 własne tury na ręce: +1 do ŁĄCZNEGO leczenia z jednej porcji regeneracji; czas trwania bez zmian.</x:v>
      </x:c>
      <x:c r="M44" t="str">
        <x:v>Potwory</x:v>
      </x:c>
      <x:c r="N44" s="91" t="str">
        <x:v>Co 3 własne tury na ręce: +1 do ŁĄCZNEGO leczenia z jednej porcji regeneracji; czas trwania bez zmian.</x:v>
      </x:c>
    </x:row>
    <x:row r="45" ht="67" customHeight="1">
      <x:c r="A45" s="59" t="str">
        <x:v>S86</x:v>
      </x:c>
      <x:c r="B45" s="59" t="str">
        <x:v>Przy śmierci</x:v>
      </x:c>
      <x:c r="C45" s="59" t="str">
        <x:v>Prowokacja</x:v>
      </x:c>
      <x:c r="D45" s="59" t="str">
        <x:v>Trupi Wartownik</x:v>
      </x:c>
      <x:c r="E45" s="220" t="n">
        <x:v>3</x:v>
      </x:c>
      <x:c r="F45" s="220" t="n">
        <x:v>9</x:v>
      </x:c>
      <x:c r="G45" s="62" t="str">
        <x:v>Pozostała wybrana sojusznicza jednostka otrzymuje prowokację do swojego opuszczenia planszy.</x:v>
      </x:c>
      <x:c r="H45" s="59"/>
      <x:c r="I45" s="64" t="str">
        <x:v>Do oceny</x:v>
      </x:c>
      <x:c r="J45" s="65"/>
      <x:c r="K45" s="59" t="str">
        <x:v>Nowa propozycja · do selekcji</x:v>
      </x:c>
      <x:c r="L45" s="62" t="str">
        <x:v>S86 · Trupi Wartownik
Pozostała wybrana sojusznicza jednostka otrzymuje prowokację do swojego opuszczenia planszy.
Co 3 własne tury na ręce: dodatkowo +3 MAX HP (czas prowokacji bez zmian).</x:v>
      </x:c>
      <x:c r="M45" t="str">
        <x:v>Potwory</x:v>
      </x:c>
      <x:c r="N45" s="91" t="str">
        <x:v>Co 3 własne tury na ręce: dodatkowo +3 MAX HP (czas prowokacji bez zmian).</x:v>
      </x:c>
    </x:row>
    <x:row r="46" ht="67" customHeight="1">
      <x:c r="A46" s="59" t="str">
        <x:v>S87</x:v>
      </x:c>
      <x:c r="B46" s="59" t="str">
        <x:v>Przy śmierci</x:v>
      </x:c>
      <x:c r="C46" s="59" t="str">
        <x:v>Oczyszczanie</x:v>
      </x:c>
      <x:c r="D46" s="59" t="str">
        <x:v>Widmo Rozproszenia</x:v>
      </x:c>
      <x:c r="E46" s="220" t="n">
        <x:v>1</x:v>
      </x:c>
      <x:c r="F46" s="220" t="n">
        <x:v>6</x:v>
      </x:c>
      <x:c r="G46" s="62" t="str">
        <x:v>Usuń z wybranej pozostałej własnej jednostki wszystkie tymczasowe negatywne efekty oraz przyznaj jej 2 trwałego pancerza.</x:v>
      </x:c>
      <x:c r="H46" s="59"/>
      <x:c r="I46" s="64" t="str">
        <x:v>Do oceny</x:v>
      </x:c>
      <x:c r="J46" s="65"/>
      <x:c r="K46" s="59" t="str">
        <x:v>Nowa propozycja · do selekcji</x:v>
      </x:c>
      <x:c r="L46" s="62" t="str">
        <x:v>S87 · Widmo Rozproszenia
Usuń z wybranej pozostałej własnej jednostki wszystkie tymczasowe negatywne efekty oraz przyznaj jej 2 trwałego pancerza.
Co 3 własne tury na ręce: za każde użyteczne oczyszczenie ulecz własny cel o dodatkowe 1 HP lub zadaj wrogiemu celowi dodatkowe 1 obrażenie.</x:v>
      </x:c>
      <x:c r="M46" t="str">
        <x:v>Potwory</x:v>
      </x:c>
      <x:c r="N46" s="91" t="str">
        <x:v>Co 3 własne tury na ręce: za każde użyteczne oczyszczenie ulecz własny cel o dodatkowe 1 HP lub zadaj wrogiemu celowi dodatkowe 1 obrażenie.</x:v>
      </x:c>
    </x:row>
    <x:row r="47" ht="67" customHeight="1">
      <x:c r="A47" s="59" t="str">
        <x:v>S88</x:v>
      </x:c>
      <x:c r="B47" s="59" t="str">
        <x:v>Przy śmierci</x:v>
      </x:c>
      <x:c r="C47" s="59" t="str">
        <x:v>Odporność</x:v>
      </x:c>
      <x:c r="D47" s="59" t="str">
        <x:v>Grobowy Antymag</x:v>
      </x:c>
      <x:c r="E47" s="220" t="n">
        <x:v>4</x:v>
      </x:c>
      <x:c r="F47" s="220" t="n">
        <x:v>7</x:v>
      </x:c>
      <x:c r="G47" s="62" t="str">
        <x:v>Nadaj wybranej pozostałej własnej jednostce odporność na truciznę i ogłuszenie do jej opuszczenia planszy.</x:v>
      </x:c>
      <x:c r="H47" s="59"/>
      <x:c r="I47" s="64" t="str">
        <x:v>Do oceny</x:v>
      </x:c>
      <x:c r="J47" s="65"/>
      <x:c r="K47" s="59" t="str">
        <x:v>Nowa propozycja · do selekcji</x:v>
      </x:c>
      <x:c r="L47" s="62" t="str">
        <x:v>S88 · Grobowy Antymag
Nadaj wybranej pozostałej własnej jednostce odporność na truciznę i ogłuszenie do jej opuszczenia planszy.
Co 3 własne tury na ręce: przy pierwszej aktywacji zdolności po wystawieniu przyznaj dodatkowo 1 trwałego pancerza chronionej jednostce (za każdy poziom).</x:v>
      </x:c>
      <x:c r="M47" t="str">
        <x:v>Potwory</x:v>
      </x:c>
      <x:c r="N47" s="91" t="str">
        <x:v>Co 3 własne tury na ręce: przy pierwszej aktywacji zdolności po wystawieniu przyznaj dodatkowo 1 trwałego pancerza chronionej jednostce (za każdy poziom).</x:v>
      </x:c>
    </x:row>
    <x:row r="48" ht="67" customHeight="1">
      <x:c r="A48" s="59" t="str">
        <x:v>S90</x:v>
      </x:c>
      <x:c r="B48" s="59" t="str">
        <x:v>Przy śmierci</x:v>
      </x:c>
      <x:c r="C48" s="59" t="str">
        <x:v>Szybki atak</x:v>
      </x:c>
      <x:c r="D48" s="59" t="str">
        <x:v>Koszmar Błyskawic</x:v>
      </x:c>
      <x:c r="E48" s="220" t="n">
        <x:v>2</x:v>
      </x:c>
      <x:c r="F48" s="220" t="n">
        <x:v>4</x:v>
      </x:c>
      <x:c r="G48" s="62" t="str">
        <x:v>Twoja najbliższa wystawiona jednostka może zaatakować w turze jej wystawienia.</x:v>
      </x:c>
      <x:c r="H48" s="59"/>
      <x:c r="I48" s="64" t="str">
        <x:v>Do oceny</x:v>
      </x:c>
      <x:c r="J48" s="65"/>
      <x:c r="K48" s="59" t="str">
        <x:v>Nowa propozycja · do selekcji</x:v>
      </x:c>
      <x:c r="L48" s="62" t="str">
        <x:v>S90 · Koszmar Błyskawic
Twoja najbliższa wystawiona jednostka może zaatakować w turze jej wystawienia.
Co 3 własne tury na ręce: dodatkowo +2 ATK i +1 MAX HP.</x:v>
      </x:c>
      <x:c r="M48" t="str">
        <x:v>Potwory</x:v>
      </x:c>
      <x:c r="N48" s="91" t="str">
        <x:v>Co 3 własne tury na ręce: dodatkowo +2 ATK i +1 MAX HP.</x:v>
      </x:c>
    </x:row>
    <x:row r="49" ht="67" customHeight="1">
      <x:c r="A49" s="59" t="str">
        <x:v>S91</x:v>
      </x:c>
      <x:c r="B49" s="59" t="str">
        <x:v>Przy śmierci</x:v>
      </x:c>
      <x:c r="C49" s="59" t="str">
        <x:v>Podwójny atak</x:v>
      </x:c>
      <x:c r="D49" s="59" t="str">
        <x:v>Dwuszczęki Horror</x:v>
      </x:c>
      <x:c r="E49" s="220" t="n">
        <x:v>1</x:v>
      </x:c>
      <x:c r="F49" s="220" t="n">
        <x:v>5</x:v>
      </x:c>
      <x:c r="G49" s="62" t="str">
        <x:v>Wybrana pozostała sojusznicza jednostka otrzymuje Podwójny atak do opuszczenia planszy.</x:v>
      </x:c>
      <x:c r="H49" s="59"/>
      <x:c r="I49" s="64" t="str">
        <x:v>Do oceny</x:v>
      </x:c>
      <x:c r="J49" s="65"/>
      <x:c r="K49" s="59" t="str">
        <x:v>Nowa propozycja · do selekcji</x:v>
      </x:c>
      <x:c r="L49" s="62" t="str">
        <x:v>S91 · Dwuszczęki Horror
Wybrana pozostała sojusznicza jednostka otrzymuje Podwójny atak do opuszczenia planszy.
Co 3 własne tury na ręce: dodatkowo +2 ATK (liczba ataków bez zmian).</x:v>
      </x:c>
      <x:c r="M49" t="str">
        <x:v>Potwory</x:v>
      </x:c>
      <x:c r="N49" s="91" t="str">
        <x:v>Co 3 własne tury na ręce: dodatkowo +2 ATK (liczba ataków bez zmian).</x:v>
      </x:c>
    </x:row>
    <x:row r="50" ht="67" customHeight="1">
      <x:c r="A50" s="59" t="str">
        <x:v>S27</x:v>
      </x:c>
      <x:c r="B50" s="59" t="str">
        <x:v>Na koniec tury</x:v>
      </x:c>
      <x:c r="C50" s="59" t="str">
        <x:v>Obrażenia</x:v>
      </x:c>
      <x:c r="D50" s="59" t="str">
        <x:v>Kusznik Runiczny</x:v>
      </x:c>
      <x:c r="E50" s="220" t="n">
        <x:v>1</x:v>
      </x:c>
      <x:c r="F50" s="220" t="n">
        <x:v>6</x:v>
      </x:c>
      <x:c r="G50" s="62" t="str">
        <x:v>Zadaj 1 obrażenie wrogiej jednostce z najniższym aktualnym HP.</x:v>
      </x:c>
      <x:c r="H50" s="59"/>
      <x:c r="I50" s="64" t="str">
        <x:v>Do oceny</x:v>
      </x:c>
      <x:c r="J50" s="65"/>
      <x:c r="K50" s="59" t="str">
        <x:v>Z poprzedniego katalogu</x:v>
      </x:c>
      <x:c r="L50" s="62" t="str">
        <x:v>S27 · Kusznik Runiczny
Zadaj 1 obrażenie wrogiej jednostce z najniższym aktualnym HP.
Co 3 własne tury na ręce: +1 do obrażeń zdolności (za każdy ukończony próg).</x:v>
      </x:c>
      <x:c r="M50" t="str">
        <x:v>Krasnoludy</x:v>
      </x:c>
      <x:c r="N50" s="91" t="str">
        <x:v>Co 3 własne tury na ręce: +1 do obrażeń zdolności (za każdy ukończony próg).</x:v>
      </x:c>
    </x:row>
    <x:row r="51" ht="67" customHeight="1">
      <x:c r="A51" s="59" t="str">
        <x:v>S25</x:v>
      </x:c>
      <x:c r="B51" s="59" t="str">
        <x:v>Na koniec tury</x:v>
      </x:c>
      <x:c r="C51" s="59" t="str">
        <x:v>Leczenie</x:v>
      </x:c>
      <x:c r="D51" s="59" t="str">
        <x:v>Medyk Górniczy</x:v>
      </x:c>
      <x:c r="E51" s="220" t="n">
        <x:v>2</x:v>
      </x:c>
      <x:c r="F51" s="220" t="n">
        <x:v>7</x:v>
      </x:c>
      <x:c r="G51" s="62" t="str">
        <x:v>Ulecz wybraną sojuszniczą jednostkę o 2 HP.</x:v>
      </x:c>
      <x:c r="H51" s="59"/>
      <x:c r="I51" s="64" t="str">
        <x:v>Do oceny</x:v>
      </x:c>
      <x:c r="J51" s="65"/>
      <x:c r="K51" s="59" t="str">
        <x:v>Z poprzedniego katalogu</x:v>
      </x:c>
      <x:c r="L51" s="62" t="str">
        <x:v>S25 · Medyk Górniczy
Ulecz wybraną sojuszniczą jednostkę o 2 HP.
Co 3 własne tury na ręce: +1 do leczenia ze zdolności.</x:v>
      </x:c>
      <x:c r="M51" t="str">
        <x:v>Krasnoludy</x:v>
      </x:c>
      <x:c r="N51" s="91" t="str">
        <x:v>Co 3 własne tury na ręce: +1 do leczenia ze zdolności.</x:v>
      </x:c>
    </x:row>
    <x:row r="52" ht="67" customHeight="1">
      <x:c r="A52" s="59" t="str">
        <x:v>S28</x:v>
      </x:c>
      <x:c r="B52" s="59" t="str">
        <x:v>Na koniec tury</x:v>
      </x:c>
      <x:c r="C52" s="59" t="str">
        <x:v>ATK ±</x:v>
      </x:c>
      <x:c r="D52" s="59" t="str">
        <x:v>Mistrz Run Bitewnych</x:v>
      </x:c>
      <x:c r="E52" s="220" t="n">
        <x:v>1</x:v>
      </x:c>
      <x:c r="F52" s="220" t="n">
        <x:v>5</x:v>
      </x:c>
      <x:c r="G52" s="62" t="str">
        <x:v>Wybierz: przyznaj sojuszniczej jednostce +1 ATK albo nałóż −1 ATK na wrogą jednostkę do końca jej najbliższej własnej tury.</x:v>
      </x:c>
      <x:c r="H52" s="59"/>
      <x:c r="I52" s="64" t="str">
        <x:v>Do oceny</x:v>
      </x:c>
      <x:c r="J52" s="65"/>
      <x:c r="K52" s="59" t="str">
        <x:v>Z poprzedniego katalogu</x:v>
      </x:c>
      <x:c r="L52" s="62" t="str">
        <x:v>S28 · Mistrz Run Bitewnych
Wybierz: przyznaj sojuszniczej jednostce +1 ATK albo nałóż −1 ATK na wrogą jednostkę do końca jej najbliższej własnej tury.
Co 3 własne tury na ręce: +1 do modułu premii lub osłabienia ATK.</x:v>
      </x:c>
      <x:c r="M52" t="str">
        <x:v>Krasnoludy</x:v>
      </x:c>
      <x:c r="N52" s="91" t="str">
        <x:v>Co 3 własne tury na ręce: +1 do modułu premii lub osłabienia ATK.</x:v>
      </x:c>
    </x:row>
    <x:row r="53" ht="67" customHeight="1">
      <x:c r="A53" s="59" t="str">
        <x:v>S93</x:v>
      </x:c>
      <x:c r="B53" s="59" t="str">
        <x:v>Na koniec tury</x:v>
      </x:c>
      <x:c r="C53" s="59" t="str">
        <x:v>MAX HP ±</x:v>
      </x:c>
      <x:c r="D53" s="59" t="str">
        <x:v>Kowal Życiostali</x:v>
      </x:c>
      <x:c r="E53" s="220" t="n">
        <x:v>3</x:v>
      </x:c>
      <x:c r="F53" s="220" t="n">
        <x:v>6</x:v>
      </x:c>
      <x:c r="G53" s="62" t="str">
        <x:v>Wybierz: przyznaj sojuszniczej jednostce +1 MAX HP i +1 aktualnego HP albo obniż MAX HP wrogiej jednostki o 1 do końca jej najbliższej własnej tury.</x:v>
      </x:c>
      <x:c r="H53" s="59"/>
      <x:c r="I53" s="64" t="str">
        <x:v>Do oceny</x:v>
      </x:c>
      <x:c r="J53" s="65"/>
      <x:c r="K53" s="59" t="str">
        <x:v>Nowa propozycja · do selekcji</x:v>
      </x:c>
      <x:c r="L53" s="62" t="str">
        <x:v>S93 · Kowal Życiostali
Wybierz: przyznaj sojuszniczej jednostce +1 MAX HP i +1 aktualnego HP albo obniż MAX HP wrogiej jednostki o 1 do końca jej najbliższej własnej tury.
Co 3 własne tury na ręce: +1 do modułu zmiany MAX HP.</x:v>
      </x:c>
      <x:c r="M53" t="str">
        <x:v>Krasnoludy</x:v>
      </x:c>
      <x:c r="N53" s="91" t="str">
        <x:v>Co 3 własne tury na ręce: +1 do modułu zmiany MAX HP.</x:v>
      </x:c>
    </x:row>
    <x:row r="54" ht="67" customHeight="1">
      <x:c r="A54" s="59" t="str">
        <x:v>S26</x:v>
      </x:c>
      <x:c r="B54" s="59" t="str">
        <x:v>Na koniec tury</x:v>
      </x:c>
      <x:c r="C54" s="59" t="str">
        <x:v>Pancerz</x:v>
      </x:c>
      <x:c r="D54" s="59" t="str">
        <x:v>Kowal Żelaznej Kuźni</x:v>
      </x:c>
      <x:c r="E54" s="220" t="n">
        <x:v>2</x:v>
      </x:c>
      <x:c r="F54" s="220" t="n">
        <x:v>6</x:v>
      </x:c>
      <x:c r="G54" s="62" t="str">
        <x:v>Przyznaj 2 tymczasowego pancerza wybranej sojuszniczej jednostce do końca jej najbliższej własnej tury.</x:v>
      </x:c>
      <x:c r="H54" s="59"/>
      <x:c r="I54" s="64" t="str">
        <x:v>Do oceny</x:v>
      </x:c>
      <x:c r="J54" s="65"/>
      <x:c r="K54" s="59" t="str">
        <x:v>Z poprzedniego katalogu</x:v>
      </x:c>
      <x:c r="L54" s="62" t="str">
        <x:v>S26 · Kowal Żelaznej Kuźni
Przyznaj 2 tymczasowego pancerza wybranej sojuszniczej jednostce do końca jej najbliższej własnej tury.
Co 3 własne tury na ręce: +1 do pancerza przyznanego/odebranego przez zdolność.</x:v>
      </x:c>
      <x:c r="M54" t="str">
        <x:v>Krasnoludy</x:v>
      </x:c>
      <x:c r="N54" s="91" t="str">
        <x:v>Co 3 własne tury na ręce: +1 do pancerza przyznanego/odebranego przez zdolność.</x:v>
      </x:c>
    </x:row>
    <x:row r="55" ht="67" customHeight="1">
      <x:c r="A55" s="59" t="str">
        <x:v>S94</x:v>
      </x:c>
      <x:c r="B55" s="59" t="str">
        <x:v>Na koniec tury</x:v>
      </x:c>
      <x:c r="C55" s="59" t="str">
        <x:v>Tarcza</x:v>
      </x:c>
      <x:c r="D55" s="59" t="str">
        <x:v>Mistrz Tarczy</x:v>
      </x:c>
      <x:c r="E55" s="220" t="n">
        <x:v>1</x:v>
      </x:c>
      <x:c r="F55" s="220" t="n">
        <x:v>8</x:v>
      </x:c>
      <x:c r="G55" s="62" t="str">
        <x:v>Daj wybranej sojuszniczej jednostce 1 tarczę, jeśli jeszcze jej nie posiada.</x:v>
      </x:c>
      <x:c r="H55" s="59"/>
      <x:c r="I55" s="64" t="str">
        <x:v>Do oceny</x:v>
      </x:c>
      <x:c r="J55" s="65"/>
      <x:c r="K55" s="59" t="str">
        <x:v>Nowa propozycja · do selekcji</x:v>
      </x:c>
      <x:c r="L55" s="62" t="str">
        <x:v>S94 · Mistrz Tarczy
Daj wybranej sojuszniczej jednostce 1 tarczę, jeśli jeszcze jej nie posiada.
Co 3 własne tury na ręce: dodatkowo +3 MAX HP (nie zwiększaj liczby tarcz).</x:v>
      </x:c>
      <x:c r="M55" t="str">
        <x:v>Krasnoludy</x:v>
      </x:c>
      <x:c r="N55" s="91" t="str">
        <x:v>Co 3 własne tury na ręce: dodatkowo +3 MAX HP (nie zwiększaj liczby tarcz).</x:v>
      </x:c>
    </x:row>
    <x:row r="56" ht="67" customHeight="1">
      <x:c r="A56" s="59" t="str">
        <x:v>S32</x:v>
      </x:c>
      <x:c r="B56" s="59" t="str">
        <x:v>Na koniec tury</x:v>
      </x:c>
      <x:c r="C56" s="59" t="str">
        <x:v>Trucizna</x:v>
      </x:c>
      <x:c r="D56" s="59" t="str">
        <x:v>Alchemik Kopalnianych Trucizn</x:v>
      </x:c>
      <x:c r="E56" s="220" t="n">
        <x:v>1</x:v>
      </x:c>
      <x:c r="F56" s="220" t="n">
        <x:v>5</x:v>
      </x:c>
      <x:c r="G56" s="62" t="str">
        <x:v>Na koniec tury nałóż na wybraną wrogą jednostkę truciznę: 1 obrażenie przez 2 jej własne tury. Jedna jednostka może mieć tylko jedną aktywną truciznę pochodzącą od tego Alchemika; trucizny różnych źródeł nadal się sumują.</x:v>
      </x:c>
      <x:c r="H56" s="59"/>
      <x:c r="I56" s="64" t="str">
        <x:v>Do oceny</x:v>
      </x:c>
      <x:c r="J56" s="65"/>
      <x:c r="K56" s="59" t="str">
        <x:v>Z poprzedniego katalogu</x:v>
      </x:c>
      <x:c r="L56" s="62" t="str">
        <x:v>S32 · Alchemik Kopalnianych Trucizn
Na koniec tury nałóż na wybraną wrogą jednostkę truciznę: 1 obrażenie przez 2 jej własne tury. Jedna jednostka może mieć tylko jedną aktywną truciznę pochodzącą od tego Alchemika; trucizny różnych źródeł nadal się sumują.
Co 3 własne tury na ręce: +1 do ŁĄCZNYCH obrażeń z jednej porcji trucizny; czas trwania bez zmian.</x:v>
      </x:c>
      <x:c r="M56" t="str">
        <x:v>Krasnoludy</x:v>
      </x:c>
      <x:c r="N56" s="91" t="str">
        <x:v>Co 3 własne tury na ręce: +1 do ŁĄCZNYCH obrażeń z jednej porcji trucizny; czas trwania bez zmian.</x:v>
      </x:c>
    </x:row>
    <x:row r="57" ht="67" customHeight="1">
      <x:c r="A57" s="59" t="str">
        <x:v>S95</x:v>
      </x:c>
      <x:c r="B57" s="59" t="str">
        <x:v>Na koniec tury</x:v>
      </x:c>
      <x:c r="C57" s="59" t="str">
        <x:v>Ogłuszenie</x:v>
      </x:c>
      <x:c r="D57" s="59" t="str">
        <x:v>Młotnik Wstrząsów</x:v>
      </x:c>
      <x:c r="E57" s="220" t="n">
        <x:v>1</x:v>
      </x:c>
      <x:c r="F57" s="220" t="n">
        <x:v>6</x:v>
      </x:c>
      <x:c r="G57" s="62" t="str">
        <x:v>Na koniec tury ogłusz wrogą jednostkę z najniższym aktualnym ATK na 1 jej własną turę. Nie możesz ogłuszać tej samej jednostki w dwóch kolejnych własnych turach.</x:v>
      </x:c>
      <x:c r="H57" s="59"/>
      <x:c r="I57" s="64" t="str">
        <x:v>Do oceny</x:v>
      </x:c>
      <x:c r="J57" s="65"/>
      <x:c r="K57" s="59" t="str">
        <x:v>Nowa propozycja · do selekcji</x:v>
      </x:c>
      <x:c r="L57" s="62" t="str">
        <x:v>S95 · Młotnik Wstrząsów
Na koniec tury ogłusz wrogą jednostkę z najniższym aktualnym ATK na 1 jej własną turę. Nie możesz ogłuszać tej samej jednostki w dwóch kolejnych własnych turach.
Co 3 własne tury na ręce: zdolność przy nałożeniu ogłuszenia zadaje dodatkowo +1 obrażenie; czas ogłuszenia nadal 1 własna tura.</x:v>
      </x:c>
      <x:c r="M57" t="str">
        <x:v>Krasnoludy</x:v>
      </x:c>
      <x:c r="N57" s="91" t="str">
        <x:v>Co 3 własne tury na ręce: zdolność przy nałożeniu ogłuszenia zadaje dodatkowo +1 obrażenie; czas ogłuszenia nadal 1 własna tura.</x:v>
      </x:c>
    </x:row>
    <x:row r="58" ht="67" customHeight="1">
      <x:c r="A58" s="59" t="str">
        <x:v>S31</x:v>
      </x:c>
      <x:c r="B58" s="59" t="str">
        <x:v>Na koniec tury</x:v>
      </x:c>
      <x:c r="C58" s="59" t="str">
        <x:v>Regeneracja</x:v>
      </x:c>
      <x:c r="D58" s="59" t="str">
        <x:v>Znachor Klanowy</x:v>
      </x:c>
      <x:c r="E58" s="220" t="n">
        <x:v>2</x:v>
      </x:c>
      <x:c r="F58" s="220" t="n">
        <x:v>6</x:v>
      </x:c>
      <x:c r="G58" s="62" t="str">
        <x:v>Nałóż na wybraną sojuszniczą jednostkę regenerację 1 HP przez 2 jej własne tury.</x:v>
      </x:c>
      <x:c r="H58" s="59"/>
      <x:c r="I58" s="64" t="str">
        <x:v>Do oceny</x:v>
      </x:c>
      <x:c r="J58" s="65"/>
      <x:c r="K58" s="59" t="str">
        <x:v>Z poprzedniego katalogu</x:v>
      </x:c>
      <x:c r="L58" s="62" t="str">
        <x:v>S31 · Znachor Klanowy
Nałóż na wybraną sojuszniczą jednostkę regenerację 1 HP przez 2 jej własne tury.
Co 3 własne tury na ręce: +1 do ŁĄCZNEGO leczenia z jednej porcji regeneracji; czas trwania bez zmian.</x:v>
      </x:c>
      <x:c r="M58" t="str">
        <x:v>Krasnoludy</x:v>
      </x:c>
      <x:c r="N58" s="91" t="str">
        <x:v>Co 3 własne tury na ręce: +1 do ŁĄCZNEGO leczenia z jednej porcji regeneracji; czas trwania bez zmian.</x:v>
      </x:c>
    </x:row>
    <x:row r="59" ht="67" customHeight="1">
      <x:c r="A59" s="59" t="str">
        <x:v>S96</x:v>
      </x:c>
      <x:c r="B59" s="59" t="str">
        <x:v>Na koniec tury</x:v>
      </x:c>
      <x:c r="C59" s="59" t="str">
        <x:v>Prowokacja</x:v>
      </x:c>
      <x:c r="D59" s="59" t="str">
        <x:v>Wartownik Szybu</x:v>
      </x:c>
      <x:c r="E59" s="220" t="n">
        <x:v>2</x:v>
      </x:c>
      <x:c r="F59" s="220" t="n">
        <x:v>8</x:v>
      </x:c>
      <x:c r="G59" s="62" t="str">
        <x:v>Nadaj wybranej sojuszniczej jednostce prowokację do końca jej najbliższej własnej tury.</x:v>
      </x:c>
      <x:c r="H59" s="59"/>
      <x:c r="I59" s="64" t="str">
        <x:v>Do oceny</x:v>
      </x:c>
      <x:c r="J59" s="65"/>
      <x:c r="K59" s="59" t="str">
        <x:v>Nowa propozycja · do selekcji</x:v>
      </x:c>
      <x:c r="L59" s="62" t="str">
        <x:v>S96 · Wartownik Szybu
Nadaj wybranej sojuszniczej jednostce prowokację do końca jej najbliższej własnej tury.
Co 3 własne tury na ręce: dodatkowo +3 MAX HP (czas prowokacji bez zmian).</x:v>
      </x:c>
      <x:c r="M59" t="str">
        <x:v>Krasnoludy</x:v>
      </x:c>
      <x:c r="N59" s="91" t="str">
        <x:v>Co 3 własne tury na ręce: dodatkowo +3 MAX HP (czas prowokacji bez zmian).</x:v>
      </x:c>
    </x:row>
    <x:row r="60" ht="67" customHeight="1">
      <x:c r="A60" s="59" t="str">
        <x:v>S97</x:v>
      </x:c>
      <x:c r="B60" s="59" t="str">
        <x:v>Na koniec tury</x:v>
      </x:c>
      <x:c r="C60" s="59" t="str">
        <x:v>Oczyszczanie</x:v>
      </x:c>
      <x:c r="D60" s="59" t="str">
        <x:v>Czyściciel Run</x:v>
      </x:c>
      <x:c r="E60" s="220" t="n">
        <x:v>1</x:v>
      </x:c>
      <x:c r="F60" s="220" t="n">
        <x:v>6</x:v>
      </x:c>
      <x:c r="G60" s="62" t="str">
        <x:v>Usuń wszystkie tymczasowe negatywne efekty z wybranej sojuszniczej jednostki.</x:v>
      </x:c>
      <x:c r="H60" s="59"/>
      <x:c r="I60" s="64" t="str">
        <x:v>Do oceny</x:v>
      </x:c>
      <x:c r="J60" s="65"/>
      <x:c r="K60" s="59" t="str">
        <x:v>Nowa propozycja · do selekcji</x:v>
      </x:c>
      <x:c r="L60" s="62" t="str">
        <x:v>S97 · Czyściciel Run
Usuń wszystkie tymczasowe negatywne efekty z wybranej sojuszniczej jednostki.
Co 3 własne tury na ręce: za każde użyteczne oczyszczenie ulecz własny cel o dodatkowe 1 HP lub zadaj wrogiemu celowi dodatkowe 1 obrażenie.</x:v>
      </x:c>
      <x:c r="M60" t="str">
        <x:v>Krasnoludy</x:v>
      </x:c>
      <x:c r="N60" s="91" t="str">
        <x:v>Co 3 własne tury na ręce: za każde użyteczne oczyszczenie ulecz własny cel o dodatkowe 1 HP lub zadaj wrogiemu celowi dodatkowe 1 obrażenie.</x:v>
      </x:c>
    </x:row>
    <x:row r="61" ht="67" customHeight="1">
      <x:c r="A61" s="59" t="str">
        <x:v>S99</x:v>
      </x:c>
      <x:c r="B61" s="59" t="str">
        <x:v>Na koniec tury</x:v>
      </x:c>
      <x:c r="C61" s="59" t="str">
        <x:v>Odporność</x:v>
      </x:c>
      <x:c r="D61" s="59" t="str">
        <x:v>Górski Odtruwacz</x:v>
      </x:c>
      <x:c r="E61" s="220" t="n">
        <x:v>3</x:v>
      </x:c>
      <x:c r="F61" s="220" t="n">
        <x:v>7</x:v>
      </x:c>
      <x:c r="G61" s="62" t="str">
        <x:v>Nadaj wybranej sojuszniczej jednostce odporność na truciznę do końca jej najbliższej własnej tury.</x:v>
      </x:c>
      <x:c r="H61" s="59"/>
      <x:c r="I61" s="64" t="str">
        <x:v>Do oceny</x:v>
      </x:c>
      <x:c r="J61" s="65"/>
      <x:c r="K61" s="59" t="str">
        <x:v>Nowa propozycja · do selekcji</x:v>
      </x:c>
      <x:c r="L61" s="62" t="str">
        <x:v>S99 · Górski Odtruwacz
Nadaj wybranej sojuszniczej jednostce odporność na truciznę do końca jej najbliższej własnej tury.
Co 3 własne tury na ręce: przy pierwszej aktywacji zdolności po wystawieniu przyznaj dodatkowo 1 trwałego pancerza chronionej jednostce (za każdy poziom).</x:v>
      </x:c>
      <x:c r="M61" t="str">
        <x:v>Krasnoludy</x:v>
      </x:c>
      <x:c r="N61" s="91" t="str">
        <x:v>Co 3 własne tury na ręce: przy pierwszej aktywacji zdolności po wystawieniu przyznaj dodatkowo 1 trwałego pancerza chronionej jednostce (za każdy poziom).</x:v>
      </x:c>
    </x:row>
    <x:row r="62" ht="67" customHeight="1">
      <x:c r="A62" s="59" t="str">
        <x:v>S101</x:v>
      </x:c>
      <x:c r="B62" s="59" t="str">
        <x:v>Na koniec tury</x:v>
      </x:c>
      <x:c r="C62" s="59" t="str">
        <x:v>Szybki atak</x:v>
      </x:c>
      <x:c r="D62" s="59" t="str">
        <x:v>Konstruktor Sprężyn</x:v>
      </x:c>
      <x:c r="E62" s="220" t="n">
        <x:v>2</x:v>
      </x:c>
      <x:c r="F62" s="220" t="n">
        <x:v>4</x:v>
      </x:c>
      <x:c r="G62" s="62" t="str">
        <x:v>Na koniec tury wybierz jedną kartę jednostki z ręki; otrzymuje Szybki atak wyłącznie jeśli wystawisz ją w swojej następnej turze. Bonus nie przechodzi na kolejne tury i nie kumuluje się.</x:v>
      </x:c>
      <x:c r="H62" s="59"/>
      <x:c r="I62" s="64" t="str">
        <x:v>Do oceny</x:v>
      </x:c>
      <x:c r="J62" s="65"/>
      <x:c r="K62" s="59" t="str">
        <x:v>Nowa propozycja · do selekcji</x:v>
      </x:c>
      <x:c r="L62" s="62" t="str">
        <x:v>S101 · Konstruktor Sprężyn
Na koniec tury wybierz jedną kartę jednostki z ręki; otrzymuje Szybki atak wyłącznie jeśli wystawisz ją w swojej następnej turze. Bonus nie przechodzi na kolejne tury i nie kumuluje się.
Co 3 własne tury na ręce: dodatkowo +2 ATK i +1 MAX HP.</x:v>
      </x:c>
      <x:c r="M62" t="str">
        <x:v>Krasnoludy</x:v>
      </x:c>
      <x:c r="N62" s="91" t="str">
        <x:v>Co 3 własne tury na ręce: dodatkowo +2 ATK i +1 MAX HP.</x:v>
      </x:c>
    </x:row>
    <x:row r="63" ht="67" customHeight="1">
      <x:c r="A63" s="59" t="str">
        <x:v>S102</x:v>
      </x:c>
      <x:c r="B63" s="59" t="str">
        <x:v>Na koniec tury</x:v>
      </x:c>
      <x:c r="C63" s="59" t="str">
        <x:v>Podwójny atak</x:v>
      </x:c>
      <x:c r="D63" s="59" t="str">
        <x:v>Mechanik Dwóch Ostrzy</x:v>
      </x:c>
      <x:c r="E63" s="220" t="n">
        <x:v>1</x:v>
      </x:c>
      <x:c r="F63" s="220" t="n">
        <x:v>5</x:v>
      </x:c>
      <x:c r="G63" s="62" t="str">
        <x:v>Na koniec tury wybrana sojusznicza jednostka otrzymuje Podwójny atak wyłącznie w swojej najbliższej własnej turze; premia nie kumuluje się.</x:v>
      </x:c>
      <x:c r="H63" s="59"/>
      <x:c r="I63" s="64" t="str">
        <x:v>Do oceny</x:v>
      </x:c>
      <x:c r="J63" s="65"/>
      <x:c r="K63" s="59" t="str">
        <x:v>Nowa propozycja · do selekcji</x:v>
      </x:c>
      <x:c r="L63" s="62" t="str">
        <x:v>S102 · Mechanik Dwóch Ostrzy
Na koniec tury wybrana sojusznicza jednostka otrzymuje Podwójny atak wyłącznie w swojej najbliższej własnej turze; premia nie kumuluje się.
Co 3 własne tury na ręce: dodatkowo +2 ATK (liczba ataków bez zmian).</x:v>
      </x:c>
      <x:c r="M63" t="str">
        <x:v>Krasnoludy</x:v>
      </x:c>
      <x:c r="N63" s="91" t="str">
        <x:v>Co 3 własne tury na ręce: dodatkowo +2 ATK (liczba ataków bez zmian).</x:v>
      </x:c>
    </x:row>
    <x:row r="64" ht="67" customHeight="1">
      <x:c r="A64" s="59" t="str">
        <x:v>S103</x:v>
      </x:c>
      <x:c r="B64" s="59" t="str">
        <x:v>Pasywna</x:v>
      </x:c>
      <x:c r="C64" s="59" t="str">
        <x:v>Obrażenia</x:v>
      </x:c>
      <x:c r="D64" s="59" t="str">
        <x:v>Weteran Odwetu</x:v>
      </x:c>
      <x:c r="E64" s="220" t="n">
        <x:v>4</x:v>
      </x:c>
      <x:c r="F64" s="220" t="n">
        <x:v>5</x:v>
      </x:c>
      <x:c r="G64" s="62" t="str">
        <x:v>Każda wroga jednostka, która atakuje tę jednostkę, otrzymuje 1 obrażenie przed standardową walką.</x:v>
      </x:c>
      <x:c r="H64" s="59"/>
      <x:c r="I64" s="64" t="str">
        <x:v>Do oceny</x:v>
      </x:c>
      <x:c r="J64" s="65"/>
      <x:c r="K64" s="59" t="str">
        <x:v>Nowa propozycja · do selekcji</x:v>
      </x:c>
      <x:c r="L64" s="62" t="str">
        <x:v>S103 · Weteran Odwetu
Każda wroga jednostka, która atakuje tę jednostkę, otrzymuje 1 obrażenie przed standardową walką.
Co 3 własne tury na ręce: +1 do obrażeń zdolności (za każdy ukończony próg).</x:v>
      </x:c>
      <x:c r="M64" t="str">
        <x:v>Ludzie</x:v>
      </x:c>
      <x:c r="N64" s="91" t="str">
        <x:v>Co 3 własne tury na ręce: +1 do obrażeń zdolności (za każdy ukończony próg).</x:v>
      </x:c>
    </x:row>
    <x:row r="65" ht="67" customHeight="1">
      <x:c r="A65" s="59" t="str">
        <x:v>S104</x:v>
      </x:c>
      <x:c r="B65" s="59" t="str">
        <x:v>Pasywna</x:v>
      </x:c>
      <x:c r="C65" s="59" t="str">
        <x:v>Leczenie</x:v>
      </x:c>
      <x:c r="D65" s="59" t="str">
        <x:v>Kapelan Garnizonu</x:v>
      </x:c>
      <x:c r="E65" s="220" t="n">
        <x:v>4</x:v>
      </x:c>
      <x:c r="F65" s="220" t="n">
        <x:v>5</x:v>
      </x:c>
      <x:c r="G65" s="62" t="str">
        <x:v>Dopóki ta jednostka jest na planszy, każda własna jednostka odzyskuje dodatkowe 2 HP podczas leczenia ze zdolności.</x:v>
      </x:c>
      <x:c r="H65" s="59"/>
      <x:c r="I65" s="64" t="str">
        <x:v>Do oceny</x:v>
      </x:c>
      <x:c r="J65" s="65"/>
      <x:c r="K65" s="59" t="str">
        <x:v>Nowa propozycja · do selekcji</x:v>
      </x:c>
      <x:c r="L65" s="62" t="str">
        <x:v>S104 · Kapelan Garnizonu
Dopóki ta jednostka jest na planszy, każda własna jednostka odzyskuje dodatkowe 2 HP podczas leczenia ze zdolności.
Co 3 własne tury na ręce: +1 do leczenia ze zdolności.</x:v>
      </x:c>
      <x:c r="M65" t="str">
        <x:v>Ludzie</x:v>
      </x:c>
      <x:c r="N65" s="91" t="str">
        <x:v>Co 3 własne tury na ręce: +1 do leczenia ze zdolności.</x:v>
      </x:c>
    </x:row>
    <x:row r="66" ht="67" customHeight="1">
      <x:c r="A66" s="59" t="str">
        <x:v>S34</x:v>
      </x:c>
      <x:c r="B66" s="59" t="str">
        <x:v>Pasywna</x:v>
      </x:c>
      <x:c r="C66" s="59" t="str">
        <x:v>ATK ±</x:v>
      </x:c>
      <x:c r="D66" s="59" t="str">
        <x:v>Chorąży Królewskiej Kompanii</x:v>
      </x:c>
      <x:c r="E66" s="220" t="n">
        <x:v>1</x:v>
      </x:c>
      <x:c r="F66" s="220" t="n">
        <x:v>6</x:v>
      </x:c>
      <x:c r="G66" s="62" t="str">
        <x:v>Wybierz tryb aury przy wystawieniu: najbliższa inna sojusznicza jednostka (preferuj po prawej, w przeciwnym razie po lewej) ma +1 ATK ALBO wroga jednostka bezpośrednio naprzeciw Chorążego ma −1 ATK. Tryb jest stały do opuszczenia planszy.</x:v>
      </x:c>
      <x:c r="H66" s="59"/>
      <x:c r="I66" s="64" t="str">
        <x:v>Do oceny</x:v>
      </x:c>
      <x:c r="J66" s="65"/>
      <x:c r="K66" s="59" t="str">
        <x:v>Z poprzedniego katalogu</x:v>
      </x:c>
      <x:c r="L66" s="62" t="str">
        <x:v>S34 · Chorąży Królewskiej Kompanii
Wybierz tryb aury przy wystawieniu: najbliższa inna sojusznicza jednostka (preferuj po prawej, w przeciwnym razie po lewej) ma +1 ATK ALBO wroga jednostka bezpośrednio naprzeciw Chorążego ma −1 ATK. Tryb jest stały do opuszczenia planszy.
Co 3 własne tury na ręce: +1 do modułu premii lub osłabienia ATK.</x:v>
      </x:c>
      <x:c r="M66" t="str">
        <x:v>Ludzie</x:v>
      </x:c>
      <x:c r="N66" s="91" t="str">
        <x:v>Co 3 własne tury na ręce: +1 do modułu premii lub osłabienia ATK.</x:v>
      </x:c>
    </x:row>
    <x:row r="67" ht="67" customHeight="1">
      <x:c r="A67" s="59" t="str">
        <x:v>S35</x:v>
      </x:c>
      <x:c r="B67" s="59" t="str">
        <x:v>Pasywna</x:v>
      </x:c>
      <x:c r="C67" s="59" t="str">
        <x:v>MAX HP ±</x:v>
      </x:c>
      <x:c r="D67" s="59" t="str">
        <x:v>Komendant Straży</x:v>
      </x:c>
      <x:c r="E67" s="220" t="n">
        <x:v>3</x:v>
      </x:c>
      <x:c r="F67" s="220" t="n">
        <x:v>7</x:v>
      </x:c>
      <x:c r="G67" s="62" t="str">
        <x:v>Wybierz tryb aury przy pojawieniu się na planszy: pozostałe własne jednostki mają +1 MAX HP i +1 aktualnego HP ALBO wrogie mają −1 MAX HP (aktualne HP ogranicz do maksimum), dopóki zdolność działa.</x:v>
      </x:c>
      <x:c r="H67" s="59"/>
      <x:c r="I67" s="64" t="str">
        <x:v>Do oceny</x:v>
      </x:c>
      <x:c r="J67" s="65"/>
      <x:c r="K67" s="59" t="str">
        <x:v>Z poprzedniego katalogu</x:v>
      </x:c>
      <x:c r="L67" s="62" t="str">
        <x:v>S35 · Komendant Straży
Wybierz tryb aury przy pojawieniu się na planszy: pozostałe własne jednostki mają +1 MAX HP i +1 aktualnego HP ALBO wrogie mają −1 MAX HP (aktualne HP ogranicz do maksimum), dopóki zdolność działa.
Co 3 własne tury na ręce: +1 do modułu zmiany MAX HP.</x:v>
      </x:c>
      <x:c r="M67" t="str">
        <x:v>Ludzie</x:v>
      </x:c>
      <x:c r="N67" s="91" t="str">
        <x:v>Co 3 własne tury na ręce: +1 do modułu zmiany MAX HP.</x:v>
      </x:c>
    </x:row>
    <x:row r="68" ht="67" customHeight="1">
      <x:c r="A68" s="59" t="str">
        <x:v>S105</x:v>
      </x:c>
      <x:c r="B68" s="59" t="str">
        <x:v>Pasywna</x:v>
      </x:c>
      <x:c r="C68" s="59" t="str">
        <x:v>Pancerz</x:v>
      </x:c>
      <x:c r="D68" s="59" t="str">
        <x:v>Zbrojmistrz Garnizonu</x:v>
      </x:c>
      <x:c r="E68" s="220" t="n">
        <x:v>2</x:v>
      </x:c>
      <x:c r="F68" s="220" t="n">
        <x:v>7</x:v>
      </x:c>
      <x:c r="G68" s="62" t="str">
        <x:v>Dopóki ta zdolność działa, pozostałe sojusznicze jednostki mają po 2 tymczasowego pancerza ze źródła tej aury; wygaśnięcie aury usuwa tę ochronę.</x:v>
      </x:c>
      <x:c r="H68" s="59"/>
      <x:c r="I68" s="64" t="str">
        <x:v>Do oceny</x:v>
      </x:c>
      <x:c r="J68" s="65"/>
      <x:c r="K68" s="59" t="str">
        <x:v>Nowa propozycja · do selekcji</x:v>
      </x:c>
      <x:c r="L68" s="62" t="str">
        <x:v>S105 · Zbrojmistrz Garnizonu
Dopóki ta zdolność działa, pozostałe sojusznicze jednostki mają po 2 tymczasowego pancerza ze źródła tej aury; wygaśnięcie aury usuwa tę ochronę.
Co 3 własne tury na ręce: +1 do pancerza przyznanego/odebranego przez zdolność.</x:v>
      </x:c>
      <x:c r="M68" t="str">
        <x:v>Ludzie</x:v>
      </x:c>
      <x:c r="N68" s="91" t="str">
        <x:v>Co 3 własne tury na ręce: +1 do pancerza przyznanego/odebranego przez zdolność.</x:v>
      </x:c>
    </x:row>
    <x:row r="69" ht="67" customHeight="1">
      <x:c r="A69" s="59" t="str">
        <x:v>S106</x:v>
      </x:c>
      <x:c r="B69" s="59" t="str">
        <x:v>Pasywna</x:v>
      </x:c>
      <x:c r="C69" s="59" t="str">
        <x:v>Tarcza</x:v>
      </x:c>
      <x:c r="D69" s="59" t="str">
        <x:v>Chorąży z Pawężą</x:v>
      </x:c>
      <x:c r="E69" s="220" t="n">
        <x:v>3</x:v>
      </x:c>
      <x:c r="F69" s="220" t="n">
        <x:v>7</x:v>
      </x:c>
      <x:c r="G69" s="62" t="str">
        <x:v>Dopóki ta zdolność działa, ta jednostka ma tarczę. Tarcza z aury nie odnawia się po zużyciu podczas tego wystawienia.</x:v>
      </x:c>
      <x:c r="H69" s="59"/>
      <x:c r="I69" s="64" t="str">
        <x:v>Do oceny</x:v>
      </x:c>
      <x:c r="J69" s="65"/>
      <x:c r="K69" s="59" t="str">
        <x:v>Nowa propozycja · do selekcji</x:v>
      </x:c>
      <x:c r="L69" s="62" t="str">
        <x:v>S106 · Chorąży z Pawężą
Dopóki ta zdolność działa, ta jednostka ma tarczę. Tarcza z aury nie odnawia się po zużyciu podczas tego wystawienia.
Co 3 własne tury na ręce: dodatkowo +3 MAX HP (nie zwiększaj liczby tarcz).</x:v>
      </x:c>
      <x:c r="M69" t="str">
        <x:v>Ludzie</x:v>
      </x:c>
      <x:c r="N69" s="91" t="str">
        <x:v>Co 3 własne tury na ręce: dodatkowo +3 MAX HP (nie zwiększaj liczby tarcz).</x:v>
      </x:c>
    </x:row>
    <x:row r="70" ht="67" customHeight="1">
      <x:c r="A70" s="59" t="str">
        <x:v>S107</x:v>
      </x:c>
      <x:c r="B70" s="59" t="str">
        <x:v>Pasywna</x:v>
      </x:c>
      <x:c r="C70" s="59" t="str">
        <x:v>Trucizna</x:v>
      </x:c>
      <x:c r="D70" s="59" t="str">
        <x:v>Chemik Wojskowy</x:v>
      </x:c>
      <x:c r="E70" s="220" t="n">
        <x:v>2</x:v>
      </x:c>
      <x:c r="F70" s="220" t="n">
        <x:v>6</x:v>
      </x:c>
      <x:c r="G70" s="62" t="str">
        <x:v>Gdy wroga jednostka zadaje tej jednostce standardowe obrażenia w walce, otrzymuje truciznę: 1 obrażenie przez 2 własne tury.</x:v>
      </x:c>
      <x:c r="H70" s="59"/>
      <x:c r="I70" s="64" t="str">
        <x:v>Do oceny</x:v>
      </x:c>
      <x:c r="J70" s="65"/>
      <x:c r="K70" s="59" t="str">
        <x:v>Nowa propozycja · do selekcji</x:v>
      </x:c>
      <x:c r="L70" s="62" t="str">
        <x:v>S107 · Chemik Wojskowy
Gdy wroga jednostka zadaje tej jednostce standardowe obrażenia w walce, otrzymuje truciznę: 1 obrażenie przez 2 własne tury.
Co 3 własne tury na ręce: +1 do ŁĄCZNYCH obrażeń z jednej porcji trucizny; czas trwania bez zmian.</x:v>
      </x:c>
      <x:c r="M70" t="str">
        <x:v>Ludzie</x:v>
      </x:c>
      <x:c r="N70" s="91" t="str">
        <x:v>Co 3 własne tury na ręce: +1 do ŁĄCZNYCH obrażeń z jednej porcji trucizny; czas trwania bez zmian.</x:v>
      </x:c>
    </x:row>
    <x:row r="71" ht="67" customHeight="1">
      <x:c r="A71" s="59" t="str">
        <x:v>S108</x:v>
      </x:c>
      <x:c r="B71" s="59" t="str">
        <x:v>Pasywna</x:v>
      </x:c>
      <x:c r="C71" s="59" t="str">
        <x:v>Ogłuszenie</x:v>
      </x:c>
      <x:c r="D71" s="59" t="str">
        <x:v>Królewski Trębacz</x:v>
      </x:c>
      <x:c r="E71" s="220" t="n">
        <x:v>1</x:v>
      </x:c>
      <x:c r="F71" s="220" t="n">
        <x:v>6</x:v>
      </x:c>
      <x:c r="G71" s="62" t="str">
        <x:v>Gdy wroga jednostka po raz pierwszy znajdzie się naprzeciw Trębacza, jest ogłuszona na 1 własną turę. Ta sama jednostka nie może być ogłuszona ponownie przez Trębacza podczas jego bieżącego wystawienia.</x:v>
      </x:c>
      <x:c r="H71" s="59"/>
      <x:c r="I71" s="64" t="str">
        <x:v>Do oceny</x:v>
      </x:c>
      <x:c r="J71" s="65"/>
      <x:c r="K71" s="59" t="str">
        <x:v>Nowa propozycja · do selekcji</x:v>
      </x:c>
      <x:c r="L71" s="62" t="str">
        <x:v>S108 · Królewski Trębacz
Gdy wroga jednostka po raz pierwszy znajdzie się naprzeciw Trębacza, jest ogłuszona na 1 własną turę. Ta sama jednostka nie może być ogłuszona ponownie przez Trębacza podczas jego bieżącego wystawienia.
Co 3 własne tury na ręce: zdolność przy nałożeniu ogłuszenia zadaje dodatkowo +1 obrażenie; czas ogłuszenia nadal 1 własna tura.</x:v>
      </x:c>
      <x:c r="M71" t="str">
        <x:v>Ludzie</x:v>
      </x:c>
      <x:c r="N71" s="91" t="str">
        <x:v>Co 3 własne tury na ręce: zdolność przy nałożeniu ogłuszenia zadaje dodatkowo +1 obrażenie; czas ogłuszenia nadal 1 własna tura.</x:v>
      </x:c>
    </x:row>
    <x:row r="72" ht="67" customHeight="1">
      <x:c r="A72" s="59" t="str">
        <x:v>S109</x:v>
      </x:c>
      <x:c r="B72" s="59" t="str">
        <x:v>Pasywna</x:v>
      </x:c>
      <x:c r="C72" s="59" t="str">
        <x:v>Regeneracja</x:v>
      </x:c>
      <x:c r="D72" s="59" t="str">
        <x:v>Kapelan Odnowy</x:v>
      </x:c>
      <x:c r="E72" s="220" t="n">
        <x:v>2</x:v>
      </x:c>
      <x:c r="F72" s="220" t="n">
        <x:v>7</x:v>
      </x:c>
      <x:c r="G72" s="62" t="str">
        <x:v>Ta jednostka ma regenerację 2 HP na koniec każdej własnej tury, dopóki działa ta zdolność.</x:v>
      </x:c>
      <x:c r="H72" s="59"/>
      <x:c r="I72" s="64" t="str">
        <x:v>Do oceny</x:v>
      </x:c>
      <x:c r="J72" s="65"/>
      <x:c r="K72" s="59" t="str">
        <x:v>Nowa propozycja · do selekcji</x:v>
      </x:c>
      <x:c r="L72" s="62" t="str">
        <x:v>S109 · Kapelan Odnowy
Ta jednostka ma regenerację 2 HP na koniec każdej własnej tury, dopóki działa ta zdolność.
Co 3 własne tury na ręce: +1 do ŁĄCZNEGO leczenia z jednej porcji regeneracji; czas trwania bez zmian.</x:v>
      </x:c>
      <x:c r="M72" t="str">
        <x:v>Ludzie</x:v>
      </x:c>
      <x:c r="N72" s="91" t="str">
        <x:v>Co 3 własne tury na ręce: +1 do ŁĄCZNEGO leczenia z jednej porcji regeneracji; czas trwania bez zmian.</x:v>
      </x:c>
    </x:row>
    <x:row r="73" ht="67" customHeight="1">
      <x:c r="A73" s="59" t="str">
        <x:v>S33</x:v>
      </x:c>
      <x:c r="B73" s="59" t="str">
        <x:v>Pasywna</x:v>
      </x:c>
      <x:c r="C73" s="59" t="str">
        <x:v>Prowokacja</x:v>
      </x:c>
      <x:c r="D73" s="59" t="str">
        <x:v>Strażnik Bram</x:v>
      </x:c>
      <x:c r="E73" s="220" t="n">
        <x:v>2</x:v>
      </x:c>
      <x:c r="F73" s="220" t="n">
        <x:v>8</x:v>
      </x:c>
      <x:c r="G73" s="62" t="str">
        <x:v>Ta jednostka posiada prowokację; wrogie jednostki muszą atakować cele z prowokacją.</x:v>
      </x:c>
      <x:c r="H73" s="59"/>
      <x:c r="I73" s="64" t="str">
        <x:v>Do oceny</x:v>
      </x:c>
      <x:c r="J73" s="65"/>
      <x:c r="K73" s="59" t="str">
        <x:v>Z poprzedniego katalogu</x:v>
      </x:c>
      <x:c r="L73" s="62" t="str">
        <x:v>S33 · Strażnik Bram
Ta jednostka posiada prowokację; wrogie jednostki muszą atakować cele z prowokacją.
Co 3 własne tury na ręce: dodatkowo +3 MAX HP (czas prowokacji bez zmian).</x:v>
      </x:c>
      <x:c r="M73" t="str">
        <x:v>Ludzie</x:v>
      </x:c>
      <x:c r="N73" s="91" t="str">
        <x:v>Co 3 własne tury na ręce: dodatkowo +3 MAX HP (czas prowokacji bez zmian).</x:v>
      </x:c>
    </x:row>
    <x:row r="74" ht="67" customHeight="1">
      <x:c r="A74" s="59" t="str">
        <x:v>S111</x:v>
      </x:c>
      <x:c r="B74" s="59" t="str">
        <x:v>Pasywna</x:v>
      </x:c>
      <x:c r="C74" s="59" t="str">
        <x:v>Oczyszczanie</x:v>
      </x:c>
      <x:c r="D74" s="59" t="str">
        <x:v>Chirurg Frontowy</x:v>
      </x:c>
      <x:c r="E74" s="220" t="n">
        <x:v>2</x:v>
      </x:c>
      <x:c r="F74" s="220" t="n">
        <x:v>7</x:v>
      </x:c>
      <x:c r="G74" s="62" t="str">
        <x:v>Dopóki ta zdolność działa, tymczasowe negatywne efekty nakładane na tę jednostkę są natychmiast usuwane.</x:v>
      </x:c>
      <x:c r="H74" s="59"/>
      <x:c r="I74" s="64" t="str">
        <x:v>Do oceny</x:v>
      </x:c>
      <x:c r="J74" s="65"/>
      <x:c r="K74" s="59" t="str">
        <x:v>Nowa propozycja · do selekcji</x:v>
      </x:c>
      <x:c r="L74" s="62" t="str">
        <x:v>S111 · Chirurg Frontowy
Dopóki ta zdolność działa, tymczasowe negatywne efekty nakładane na tę jednostkę są natychmiast usuwane.
Co 3 własne tury na ręce: za każde użyteczne oczyszczenie ulecz własny cel o dodatkowe 1 HP lub zadaj wrogiemu celowi dodatkowe 1 obrażenie.</x:v>
      </x:c>
      <x:c r="M74" t="str">
        <x:v>Ludzie</x:v>
      </x:c>
      <x:c r="N74" s="91" t="str">
        <x:v>Co 3 własne tury na ręce: za każde użyteczne oczyszczenie ulecz własny cel o dodatkowe 1 HP lub zadaj wrogiemu celowi dodatkowe 1 obrażenie.</x:v>
      </x:c>
    </x:row>
    <x:row r="75" ht="67" customHeight="1">
      <x:c r="A75" s="59" t="str">
        <x:v>S39</x:v>
      </x:c>
      <x:c r="B75" s="59" t="str">
        <x:v>Pasywna</x:v>
      </x:c>
      <x:c r="C75" s="59" t="str">
        <x:v>Odporność</x:v>
      </x:c>
      <x:c r="D75" s="59" t="str">
        <x:v>Alchemik Antytoksyk</x:v>
      </x:c>
      <x:c r="E75" s="220" t="n">
        <x:v>4</x:v>
      </x:c>
      <x:c r="F75" s="220" t="n">
        <x:v>7</x:v>
      </x:c>
      <x:c r="G75" s="62" t="str">
        <x:v>Ta jednostka jest odporna na truciznę; istniejące trucizny zostają usunięte.</x:v>
      </x:c>
      <x:c r="H75" s="59"/>
      <x:c r="I75" s="64" t="str">
        <x:v>Do oceny</x:v>
      </x:c>
      <x:c r="J75" s="65"/>
      <x:c r="K75" s="59" t="str">
        <x:v>Z poprzedniego katalogu</x:v>
      </x:c>
      <x:c r="L75" s="62" t="str">
        <x:v>S39 · Alchemik Antytoksyk
Ta jednostka jest odporna na truciznę; istniejące trucizny zostają usunięte.
Co 3 własne tury na ręce: przy pierwszej aktywacji zdolności po wystawieniu przyznaj dodatkowo 1 trwałego pancerza chronionej jednostce (za każdy poziom).</x:v>
      </x:c>
      <x:c r="M75" t="str">
        <x:v>Ludzie</x:v>
      </x:c>
      <x:c r="N75" s="91" t="str">
        <x:v>Co 3 własne tury na ręce: przy pierwszej aktywacji zdolności po wystawieniu przyznaj dodatkowo 1 trwałego pancerza chronionej jednostce (za każdy poziom).</x:v>
      </x:c>
    </x:row>
    <x:row r="76" ht="67" customHeight="1">
      <x:c r="A76" s="59" t="str">
        <x:v>S114</x:v>
      </x:c>
      <x:c r="B76" s="59" t="str">
        <x:v>Pasywna</x:v>
      </x:c>
      <x:c r="C76" s="59" t="str">
        <x:v>Szybki atak</x:v>
      </x:c>
      <x:c r="D76" s="59" t="str">
        <x:v>Instruktor Błyskawicznego Natarcia</x:v>
      </x:c>
      <x:c r="E76" s="220" t="n">
        <x:v>1</x:v>
      </x:c>
      <x:c r="F76" s="220" t="n">
        <x:v>4</x:v>
      </x:c>
      <x:c r="G76" s="62" t="str">
        <x:v>Ta jednostka ma Szybki atak: może atakować od razu po wystawieniu, dopóki zdolność działa.</x:v>
      </x:c>
      <x:c r="H76" s="59"/>
      <x:c r="I76" s="64" t="str">
        <x:v>Do oceny</x:v>
      </x:c>
      <x:c r="J76" s="65"/>
      <x:c r="K76" s="59" t="str">
        <x:v>Nowa propozycja · do selekcji</x:v>
      </x:c>
      <x:c r="L76" s="62" t="str">
        <x:v>S114 · Instruktor Błyskawicznego Natarcia
Ta jednostka ma Szybki atak: może atakować od razu po wystawieniu, dopóki zdolność działa.
Co 3 własne tury na ręce: dodatkowo +2 ATK i +1 MAX HP.</x:v>
      </x:c>
      <x:c r="M76" t="str">
        <x:v>Ludzie</x:v>
      </x:c>
      <x:c r="N76" s="91" t="str">
        <x:v>Co 3 własne tury na ręce: dodatkowo +2 ATK i +1 MAX HP.</x:v>
      </x:c>
    </x:row>
    <x:row r="77" ht="67" customHeight="1">
      <x:c r="A77" s="59" t="str">
        <x:v>S115</x:v>
      </x:c>
      <x:c r="B77" s="59" t="str">
        <x:v>Pasywna</x:v>
      </x:c>
      <x:c r="C77" s="59" t="str">
        <x:v>Podwójny atak</x:v>
      </x:c>
      <x:c r="D77" s="59" t="str">
        <x:v>Mistrz Dwóch Ostrzy</x:v>
      </x:c>
      <x:c r="E77" s="220" t="n">
        <x:v>1</x:v>
      </x:c>
      <x:c r="F77" s="220" t="n">
        <x:v>5</x:v>
      </x:c>
      <x:c r="G77" s="62" t="str">
        <x:v>Ta jednostka ma Podwójny atak: może atakować dwa razy w każdej własnej turze, dopóki działa zdolność.</x:v>
      </x:c>
      <x:c r="H77" s="59"/>
      <x:c r="I77" s="64" t="str">
        <x:v>Do oceny</x:v>
      </x:c>
      <x:c r="J77" s="65"/>
      <x:c r="K77" s="59" t="str">
        <x:v>Nowa propozycja · do selekcji</x:v>
      </x:c>
      <x:c r="L77" s="62" t="str">
        <x:v>S115 · Mistrz Dwóch Ostrzy
Ta jednostka ma Podwójny atak: może atakować dwa razy w każdej własnej turze, dopóki działa zdolność.
Co 3 własne tury na ręce: dodatkowo +2 ATK (liczba ataków bez zmian).</x:v>
      </x:c>
      <x:c r="M77" t="str">
        <x:v>Ludzie</x:v>
      </x:c>
      <x:c r="N77" s="91" t="str">
        <x:v>Co 3 własne tury na ręce: dodatkowo +2 ATK (liczba ataków bez zmian).</x:v>
      </x:c>
    </x:row>
    <x:row r="78" ht="67" customHeight="1">
      <x:c r="A78" s="59"/>
      <x:c r="B78" s="59"/>
      <x:c r="C78" s="59"/>
      <x:c r="D78" s="59"/>
      <x:c r="E78" s="68"/>
      <x:c r="F78" s="68"/>
      <x:c r="G78" s="62"/>
      <x:c r="H78" s="59"/>
      <x:c r="I78" s="64"/>
      <x:c r="J78" s="65"/>
      <x:c r="K78" s="59"/>
      <x:c r="L78" s="62"/>
      <x:c r="M78"/>
      <x:c r="N78" s="91"/>
    </x:row>
    <x:row r="79" ht="67" customHeight="1">
      <x:c r="A79" s="59"/>
      <x:c r="B79" s="59"/>
      <x:c r="C79" s="59"/>
      <x:c r="D79" s="59"/>
      <x:c r="E79" s="68"/>
      <x:c r="F79" s="68"/>
      <x:c r="G79" s="62"/>
      <x:c r="H79" s="59"/>
      <x:c r="I79" s="64"/>
      <x:c r="J79" s="65"/>
      <x:c r="K79" s="59"/>
      <x:c r="L79" s="62"/>
      <x:c r="M79"/>
      <x:c r="N79" s="91"/>
    </x:row>
    <x:row r="80" ht="67" customHeight="1">
      <x:c r="A80" s="59"/>
      <x:c r="B80" s="59"/>
      <x:c r="C80" s="59"/>
      <x:c r="D80" s="59"/>
      <x:c r="E80" s="68"/>
      <x:c r="F80" s="68"/>
      <x:c r="G80" s="62"/>
      <x:c r="H80" s="59"/>
      <x:c r="I80" s="64"/>
      <x:c r="J80" s="65"/>
      <x:c r="K80" s="59"/>
      <x:c r="L80" s="62"/>
      <x:c r="M80"/>
      <x:c r="N80" s="91"/>
    </x:row>
    <x:row r="81" ht="67" customHeight="1">
      <x:c r="A81" s="59"/>
      <x:c r="B81" s="59"/>
      <x:c r="C81" s="59"/>
      <x:c r="D81" s="59"/>
      <x:c r="E81" s="68"/>
      <x:c r="F81" s="68"/>
      <x:c r="G81" s="62"/>
      <x:c r="H81" s="59"/>
      <x:c r="I81" s="64"/>
      <x:c r="J81" s="65"/>
      <x:c r="K81" s="59"/>
      <x:c r="L81" s="62"/>
      <x:c r="M81"/>
      <x:c r="N81" s="91"/>
    </x:row>
    <x:row r="82" ht="67" customHeight="1">
      <x:c r="A82" s="59"/>
      <x:c r="B82" s="59"/>
      <x:c r="C82" s="59"/>
      <x:c r="D82" s="59"/>
      <x:c r="E82" s="68"/>
      <x:c r="F82" s="68"/>
      <x:c r="G82" s="62"/>
      <x:c r="H82" s="59"/>
      <x:c r="I82" s="64"/>
      <x:c r="J82" s="65"/>
      <x:c r="K82" s="59"/>
      <x:c r="L82" s="62"/>
      <x:c r="M82"/>
      <x:c r="N82" s="91"/>
    </x:row>
  </x:sheetData>
  <x:mergeCells>
    <x:mergeCell ref="A1:L2"/>
    <x:mergeCell ref="A3:L3"/>
    <x:mergeCell ref="A4:L4"/>
    <x:mergeCell ref="A5:L5"/>
  </x:mergeCells>
  <x:dataValidations count="1">
    <x:dataValidation type="list" sqref="I8:I82">
      <x:formula1>"Do oceny,Zostaw,Do zmiany,Odrzuć"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25" hidden="0" customWidth="1"/>
    <x:col min="3" max="3" width="92" hidden="0" customWidth="1"/>
    <x:col min="4" max="4" width="87" hidden="0" customWidth="1"/>
    <x:col min="5" max="5" width="17" hidden="0" customWidth="1"/>
  </x:cols>
  <x:sheetData>
    <x:row r="1" ht="25" customHeight="1">
      <x:c r="A1" s="4" t="str">
        <x:v>LEGENDA  |  ZAKRES I REGUŁY KART STARTOWYCH</x:v>
      </x:c>
      <x:c r="B1" s="4"/>
      <x:c r="C1" s="4"/>
      <x:c r="D1" s="4"/>
      <x:c r="E1" s="4"/>
    </x:row>
    <x:row r="2" ht="25" customHeight="1">
      <x:c r="A2" s="4" t="str">
        <x:v>v17 — KANONICZNE 70 KART PODSTAWOWYCH; ETAP AUKCYJNY PÓŹNIEJ; HISTORYCZNE ARKUSZE BALANSU NIE SĄ REGUŁAMI</x:v>
      </x:c>
      <x:c r="B2" s="4"/>
      <x:c r="C2" s="4"/>
      <x:c r="D2" s="4"/>
      <x:c r="E2" s="4"/>
    </x:row>
    <x:row r="3" ht="28" customHeight="1">
      <x:c r="A3" s="11" t="str">
        <x:v>Macierz obejmuje wszystkie 70 kart używanych w podstawowym MVP. Szczegóły zasad: „ZASADY v17” i GAME_MASTER.md.</x:v>
      </x:c>
      <x:c r="B3" s="11"/>
      <x:c r="C3" s="11"/>
      <x:c r="D3" s="11"/>
      <x:c r="E3" s="11"/>
    </x:row>
    <x:row r="5" ht="36" customHeight="1">
      <x:c r="A5" s="32" t="str">
        <x:v>Sekcja</x:v>
      </x:c>
      <x:c r="B5" s="32" t="str">
        <x:v>Element</x:v>
      </x:c>
      <x:c r="C5" s="32" t="str">
        <x:v>Opis mechaniki</x:v>
      </x:c>
      <x:c r="D5" s="32" t="str">
        <x:v>Ograniczenia / uzasadnienie</x:v>
      </x:c>
      <x:c r="E5" s="32" t="str">
        <x:v>Status</x:v>
      </x:c>
    </x:row>
    <x:row r="6" ht="60" customHeight="1">
      <x:c r="A6" s="62" t="str">
        <x:v>Zakres</x:v>
      </x:c>
      <x:c r="B6" s="62" t="str">
        <x:v>Wersja podstawowa</x:v>
      </x:c>
      <x:c r="C6" s="62" t="str">
        <x:v>Wszystkie karty startowe mają wyłącznie podstawową wersję; bez wariantów rzadkich i legendarnych.</x:v>
      </x:c>
      <x:c r="D6" s="62" t="str">
        <x:v>70 unikatowych archetypów, po dokładnie jednym egzemplarzu każdego; wspólna pula 70 kart.</x:v>
      </x:c>
      <x:c r="E6" s="62" t="str">
        <x:v>Ustalone</x:v>
      </x:c>
    </x:row>
    <x:row r="7" ht="60" customHeight="1">
      <x:c r="A7" s="62" t="str">
        <x:v>Moment</x:v>
      </x:c>
      <x:c r="B7" s="62" t="str">
        <x:v>Przy wystawieniu</x:v>
      </x:c>
      <x:c r="C7" s="62" t="str">
        <x:v>Zdolność aktywuje się jednorazowo po wystawieniu z ręki.</x:v>
      </x:c>
      <x:c r="D7" s="62" t="str">
        <x:v>Nie wymaga monet; roboczo nieco silniejsza od zdolności powtarzalnych.</x:v>
      </x:c>
      <x:c r="E7" s="62" t="str">
        <x:v>Ustalone</x:v>
      </x:c>
    </x:row>
    <x:row r="8" ht="60" customHeight="1">
      <x:c r="A8" s="62" t="str">
        <x:v>Moment</x:v>
      </x:c>
      <x:c r="B8" s="62" t="str">
        <x:v>Przy ataku</x:v>
      </x:c>
      <x:c r="C8" s="62" t="str">
        <x:v>Aktywacja przed standardowymi obrażeniami, zgodnie z opisem.</x:v>
      </x:c>
      <x:c r="D8" s="62" t="str">
        <x:v>Może nastąpić więcej razy w meczu, dlatego zwykle mniejsza wartość efektu.</x:v>
      </x:c>
      <x:c r="E8" s="62" t="str">
        <x:v>Ustalone</x:v>
      </x:c>
    </x:row>
    <x:row r="9" ht="60" customHeight="1">
      <x:c r="A9" s="62" t="str">
        <x:v>Moment</x:v>
      </x:c>
      <x:c r="B9" s="62" t="str">
        <x:v>Przy śmierci</x:v>
      </x:c>
      <x:c r="C9" s="62" t="str">
        <x:v>Jednorazowa aktywacja po śmierci, jeśli zdolność nie jest zablokowana.</x:v>
      </x:c>
      <x:c r="D9" s="62" t="str">
        <x:v>Roboczo nieco silniejsza niż Przy wystawieniu.</x:v>
      </x:c>
      <x:c r="E9" s="62" t="str">
        <x:v>Ustalone</x:v>
      </x:c>
    </x:row>
    <x:row r="10" ht="60" customHeight="1">
      <x:c r="A10" s="62" t="str">
        <x:v>Moment</x:v>
      </x:c>
      <x:c r="B10" s="62" t="str">
        <x:v>Na koniec tury</x:v>
      </x:c>
      <x:c r="C10" s="62" t="str">
        <x:v>Automatyczna aktywacja od lewej do prawej.</x:v>
      </x:c>
      <x:c r="D10" s="62" t="str">
        <x:v>Powtarzalny efekt — zwykle słabszy jednorazowo.</x:v>
      </x:c>
      <x:c r="E10" s="62" t="str">
        <x:v>Ustalone</x:v>
      </x:c>
    </x:row>
    <x:row r="11" ht="60" customHeight="1">
      <x:c r="A11" s="62" t="str">
        <x:v>Moment</x:v>
      </x:c>
      <x:c r="B11" s="62" t="str">
        <x:v>Pasywna</x:v>
      </x:c>
      <x:c r="C11" s="62" t="str">
        <x:v>Efekt utrzymuje się, gdy źródło przebywa na planszy i nie jest zablokowane.</x:v>
      </x:c>
      <x:c r="D11" s="62" t="str">
        <x:v>Ustaje po śmierci / blokadzie źródła.</x:v>
      </x:c>
      <x:c r="E11" s="62" t="str">
        <x:v>Ustalone</x:v>
      </x:c>
    </x:row>
    <x:row r="12" ht="60" customHeight="1">
      <x:c r="A12" s="62" t="str">
        <x:v>Rodzina</x:v>
      </x:c>
      <x:c r="B12" s="62" t="str">
        <x:v>ATK ±</x:v>
      </x:c>
      <x:c r="C12" s="62" t="str">
        <x:v>Jedna karta oferuje wybór: bonus ATK na własną jednostkę ALBO ujemny modyfikator ATK na wrogą.</x:v>
      </x:c>
      <x:c r="D12" s="62" t="str">
        <x:v>Przy wystawieniu oba warianty do opuszczenia planszy przez cel.</x:v>
      </x:c>
      <x:c r="E12" s="62" t="str">
        <x:v>Wdrożone</x:v>
      </x:c>
    </x:row>
    <x:row r="13" ht="60" customHeight="1">
      <x:c r="A13" s="62" t="str">
        <x:v>Rodzina</x:v>
      </x:c>
      <x:c r="B13" s="62" t="str">
        <x:v>MAX HP ±</x:v>
      </x:c>
      <x:c r="C13" s="62" t="str">
        <x:v>Jedna karta: własnej jednostce +MAX HP i +aktualne HP ALBO wrogiej −MAX HP; HP wroga w razie potrzeby ogranicza się do nowego maksimum.</x:v>
      </x:c>
      <x:c r="D13" s="62" t="str">
        <x:v>Wygaśnięcie osłabienia nie leczy; dodatni bonus do HP kończy się wg reguł gry.</x:v>
      </x:c>
      <x:c r="E13" s="62" t="str">
        <x:v>Wdrożone</x:v>
      </x:c>
    </x:row>
    <x:row r="14" ht="60" customHeight="1">
      <x:c r="A14" s="62" t="str">
        <x:v>Wykluczenie</x:v>
      </x:c>
      <x:c r="B14" s="62" t="str">
        <x:v>Monety</x:v>
      </x:c>
      <x:c r="C14" s="62" t="str">
        <x:v>Karty startowe nie przyznają monet ani nie uruchamiają płatnych efektów.</x:v>
      </x:c>
      <x:c r="D14" s="62" t="str">
        <x:v>Mechaniki monetowe będą rozpatrywane w kartach aukcyjnych.</x:v>
      </x:c>
      <x:c r="E14" s="62" t="str">
        <x:v>Ustalone</x:v>
      </x:c>
    </x:row>
    <x:row r="15" ht="60" customHeight="1">
      <x:c r="A15" s="62" t="str">
        <x:v>Wykluczenie</x:v>
      </x:c>
      <x:c r="B15" s="62" t="str">
        <x:v>Inne aukcyjne</x:v>
      </x:c>
      <x:c r="C15" s="62" t="str">
        <x:v>Dobieranie, redukcja obrażeń, kopiowanie, wskrzeszanie i przejęcie nie należą do zestawu startowego.</x:v>
      </x:c>
      <x:c r="D15" s="62" t="str">
        <x:v>Zarezerwowane do projektowania na aukcjach.</x:v>
      </x:c>
      <x:c r="E15" s="62" t="str">
        <x:v>Ustalone</x:v>
      </x:c>
    </x:row>
    <x:row r="16" ht="60" customHeight="1">
      <x:c r="A16" s="62" t="str">
        <x:v>Cecha</x:v>
      </x:c>
      <x:c r="B16" s="62" t="str">
        <x:v>Szybki atak</x:v>
      </x:c>
      <x:c r="C16" s="62" t="str">
        <x:v>Możliwość atakowania w turze wystawienia.</x:v>
      </x:c>
      <x:c r="D16" s="62" t="str">
        <x:v>Standardowo nowa jednostka czeka do następnej własnej tury.</x:v>
      </x:c>
      <x:c r="E16" s="62" t="str">
        <x:v>Ustalone</x:v>
      </x:c>
    </x:row>
    <x:row r="17" ht="60" customHeight="1">
      <x:c r="A17" s="62" t="str">
        <x:v>Cecha</x:v>
      </x:c>
      <x:c r="B17" s="62" t="str">
        <x:v>Podwójny atak</x:v>
      </x:c>
      <x:c r="C17" s="62" t="str">
        <x:v>Jednostka może zaatakować dwa razy podczas własnej tury, o ile może normalnie deklarować ataki.</x:v>
      </x:c>
      <x:c r="D17" s="62" t="str">
        <x:v>Nadal potrzebna możliwość atakowania (bez ogłuszenia).</x:v>
      </x:c>
      <x:c r="E17" s="62" t="str">
        <x:v>Ustalone</x:v>
      </x:c>
    </x:row>
    <x:row r="18" ht="60" customHeight="1">
      <x:c r="A18" s="62" t="str">
        <x:v>Balans</x:v>
      </x:c>
      <x:c r="B18" s="62" t="str">
        <x:v>Jednorazowe efekty</x:v>
      </x:c>
      <x:c r="C18" s="62" t="str">
        <x:v>Przykład obrażeń: na koniec tury 1, przy wystawieniu 3, przy śmierci celowo silniejsze np. 4 na bohatera.</x:v>
      </x:c>
      <x:c r="D18" s="62" t="str">
        <x:v>Liczby są robocze, niezatwierdzony balans.</x:v>
      </x:c>
      <x:c r="E18" s="62" t="str">
        <x:v>Robocze</x:v>
      </x:c>
    </x:row>
    <x:row r="19" ht="60" customHeight="1">
      <x:c r="A19" s="62" t="str">
        <x:v>Balans</x:v>
      </x:c>
      <x:c r="B19" s="62" t="str">
        <x:v>Cechy bez liczby</x:v>
      </x:c>
      <x:c r="C19" s="62" t="str">
        <x:v>Szybki atak, Podwójny atak, Tarcza czy Prowokacja także muszą ulepszać efekt co 3 tury w ręce.</x:v>
      </x:c>
      <x:c r="D19" s="62" t="str">
        <x:v>Wartość/postać ulepszenia tych zdolności jeszcze do doprecyzowania.</x:v>
      </x:c>
      <x:c r="E19" s="62" t="str">
        <x:v>Robocze</x:v>
      </x:c>
    </x:row>
    <x:row r="20" ht="60" customHeight="1">
      <x:c r="A20" s="62" t="str">
        <x:v>Ocena</x:v>
      </x:c>
      <x:c r="B20" s="62" t="str">
        <x:v>Selekcja</x:v>
      </x:c>
      <x:c r="C20" s="62" t="str">
        <x:v>Co 3 tury na ręce Szybki atak: +2 ATK/+1 HP; Podwójny atak: +2 ATK; Tarcza i Prowokacja: +3 HP.</x:v>
      </x:c>
      <x:c r="D20" s="62" t="str">
        <x:v>Premie dodatkowe do bazowego +2 ATK/HP co każdą turę; nie dodają kolejnych ataków lub ładunków tarczy.</x:v>
      </x:c>
      <x:c r="E20" s="62" t="str">
        <x:v>Ustalone</x:v>
      </x:c>
    </x:row>
    <x:row r="21" ht="27" customHeight="1">
      <x:c r="A21" t="str">
        <x:v>Frakcja</x:v>
      </x:c>
      <x:c r="B21" t="str">
        <x:v>Elfy</x:v>
      </x:c>
      <x:c r="C21" t="str">
        <x:v>Przy wystawieniu</x:v>
      </x:c>
      <x:c r="D21" t="str">
        <x:v>Efekt jednorazowy przy zagraniu jednostki.</x:v>
      </x:c>
    </x:row>
    <x:row r="22" ht="27" customHeight="1">
      <x:c r="A22" t="str">
        <x:v>Frakcja</x:v>
      </x:c>
      <x:c r="B22" t="str">
        <x:v>Dzikie bestie</x:v>
      </x:c>
      <x:c r="C22" t="str">
        <x:v>Przy ataku</x:v>
      </x:c>
      <x:c r="D22" t="str">
        <x:v>Aktywacja przed rozpatrzeniem zwykłej walki.</x:v>
      </x:c>
    </x:row>
    <x:row r="23" ht="27" customHeight="1">
      <x:c r="A23" t="str">
        <x:v>Frakcja</x:v>
      </x:c>
      <x:c r="B23" t="str">
        <x:v>Potwory</x:v>
      </x:c>
      <x:c r="C23" t="str">
        <x:v>Przy śmierci</x:v>
      </x:c>
      <x:c r="D23" t="str">
        <x:v>Działanie jednorazowe, jeśli nie zostało zablokowane.</x:v>
      </x:c>
    </x:row>
    <x:row r="24" ht="27" customHeight="1">
      <x:c r="A24" t="str">
        <x:v>Frakcja</x:v>
      </x:c>
      <x:c r="B24" t="str">
        <x:v>Krasnoludy</x:v>
      </x:c>
      <x:c r="C24" t="str">
        <x:v>Na koniec tury</x:v>
      </x:c>
      <x:c r="D24" t="str">
        <x:v>Aktywacja od lewej do prawej na własnej planszy.</x:v>
      </x:c>
    </x:row>
    <x:row r="25" ht="27" customHeight="1">
      <x:c r="A25" t="str">
        <x:v>Frakcja</x:v>
      </x:c>
      <x:c r="B25" t="str">
        <x:v>Ludzie</x:v>
      </x:c>
      <x:c r="C25" t="str">
        <x:v>Pasywna</x:v>
      </x:c>
      <x:c r="D25" t="str">
        <x:v>Zdolność działa, dopóki źródło pozostaje na planszy i nie jest wyciszone.</x:v>
      </x:c>
    </x:row>
    <x:row r="26" ht="27" customHeight="1">
      <x:c r="A26" t="str">
        <x:v>Balans</x:v>
      </x:c>
      <x:c r="B26" t="str">
        <x:v>Reguły testowe</x:v>
      </x:c>
      <x:c r="C26" t="str">
        <x:v>Patrz arkusze „Balans — metoda” i „Balans — karty”.</x:v>
      </x:c>
      <x:c r="D26" t="str">
        <x:v>Wartości liczbowe w katalogu nie zostały ostatecznie zatwierdzone.</x:v>
      </x:c>
    </x:row>
    <x:row r="27">
      <x:c r="A27" t="str">
        <x:v>Skalowanie</x:v>
      </x:c>
      <x:c r="B27" t="str">
        <x:v>Statystyki w ręce</x:v>
      </x:c>
      <x:c r="C27" t="str">
        <x:v>+2 pkt łącznie do ATK / MAX HP co własną turę w ręce; profile 2/0,1/1,0/2.</x:v>
      </x:c>
      <x:c r="D27" t="str">
        <x:v>Bez limitu; profil per egzemplarz/archetyp.</x:v>
      </x:c>
      <x:c r="E27" t="str">
        <x:v>Ustalone</x:v>
      </x:c>
    </x:row>
    <x:row r="28">
      <x:c r="A28" t="str">
        <x:v>Skalowanie</x:v>
      </x:c>
      <x:c r="B28" t="str">
        <x:v>Zdolność specjalna</x:v>
      </x:c>
      <x:c r="C28" t="str">
        <x:v>Obowiązkowy przyrost zdolności po każdej 3 własnej turze przetrzymywania w ręce.</x:v>
      </x:c>
      <x:c r="D28" t="str">
        <x:v>Dla 4 wskazanych cech dokładne premie są zdefiniowane w arkuszu „Premie cech”.</x:v>
      </x:c>
      <x:c r="E28" t="str">
        <x:v>Ustalone</x:v>
      </x:c>
    </x:row>
  </x:sheetData>
  <x:mergeCells>
    <x:mergeCell ref="A1:E2"/>
    <x:mergeCell ref="A3:E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9" hidden="0" customWidth="1"/>
    <x:col min="3" max="3" width="48" hidden="0" customWidth="1"/>
    <x:col min="4" max="4" width="72" hidden="0" customWidth="1"/>
    <x:col min="5" max="5" width="36" hidden="0" customWidth="1"/>
  </x:cols>
  <x:sheetData>
    <x:row r="1" ht="25" customHeight="1">
      <x:c r="A1" s="4" t="str">
        <x:v>AUKCJE  |  REZERWACJA MECHANIK</x:v>
      </x:c>
      <x:c r="B1" s="4"/>
      <x:c r="C1" s="4"/>
      <x:c r="D1" s="4"/>
      <x:c r="E1" s="4"/>
    </x:row>
    <x:row r="2" ht="25" customHeight="1">
      <x:c r="A2" s="4"/>
      <x:c r="B2" s="4"/>
      <x:c r="C2" s="4"/>
      <x:c r="D2" s="4"/>
      <x:c r="E2" s="4"/>
    </x:row>
    <x:row r="3" ht="28" customHeight="1">
      <x:c r="A3" s="11" t="str">
        <x:v>To tylko przypomnienie rozdzielenia mechanik. Katalog jednostek aukcyjnych będzie opracowany osobno.</x:v>
      </x:c>
      <x:c r="B3" s="11"/>
      <x:c r="C3" s="11"/>
      <x:c r="D3" s="11"/>
      <x:c r="E3" s="11"/>
    </x:row>
    <x:row r="5" ht="36" customHeight="1">
      <x:c r="A5" s="32" t="str">
        <x:v>Wariant</x:v>
      </x:c>
      <x:c r="B5" s="32" t="str">
        <x:v>Płatna zdolność</x:v>
      </x:c>
      <x:c r="C5" s="32" t="str">
        <x:v>Limit na egzemplarz</x:v>
      </x:c>
      <x:c r="D5" s="32" t="str">
        <x:v>Pozostałe efekty aukcyjne</x:v>
      </x:c>
      <x:c r="E5" s="32" t="str">
        <x:v>Status</x:v>
      </x:c>
    </x:row>
    <x:row r="6" ht="70" customHeight="1">
      <x:c r="A6" s="62" t="str">
        <x:v>Podstawowy</x:v>
      </x:c>
      <x:c r="B6" s="62" t="str">
        <x:v>Do zaprojektowania</x:v>
      </x:c>
      <x:c r="C6" s="62" t="str">
        <x:v>1 użycie na cały mecz</x:v>
      </x:c>
      <x:c r="D6" s="62" t="str">
        <x:v>Monety; dobieranie; redukcja; kopiowanie; przejęcie; wskrzeszenie</x:v>
      </x:c>
      <x:c r="E6" s="62" t="str">
        <x:v>Mechanika zatwierdzona, karty nie</x:v>
      </x:c>
    </x:row>
    <x:row r="7" ht="70" customHeight="1">
      <x:c r="A7" s="62" t="str">
        <x:v>Rzadki</x:v>
      </x:c>
      <x:c r="B7" s="62" t="str">
        <x:v>Do zaprojektowania</x:v>
      </x:c>
      <x:c r="C7" s="62" t="str">
        <x:v>1 użycie na własną turę</x:v>
      </x:c>
      <x:c r="D7" s="62" t="str">
        <x:v>Jak wyżej, z szerszą funkcjonalnością efektu</x:v>
      </x:c>
      <x:c r="E7" s="62" t="str">
        <x:v>Mechanika zatwierdzona, karty nie</x:v>
      </x:c>
    </x:row>
    <x:row r="8" ht="70" customHeight="1">
      <x:c r="A8" s="62" t="str">
        <x:v>Legendarny</x:v>
      </x:c>
      <x:c r="B8" s="62" t="str">
        <x:v>Do zaprojektowania</x:v>
      </x:c>
      <x:c r="C8" s="62" t="str">
        <x:v>Wielokrotnie na własną turę, jeśli wystarcza monet</x:v>
      </x:c>
      <x:c r="D8" s="62" t="str">
        <x:v>Jak wyżej, najszersza funkcjonalność efektu</x:v>
      </x:c>
      <x:c r="E8" s="62" t="str">
        <x:v>Mechanika zatwierdzona, karty nie</x:v>
      </x:c>
    </x:row>
    <x:row r="9" ht="70" customHeight="1">
      <x:c r="A9" s="62" t="str">
        <x:v>Uwaga</x:v>
      </x:c>
      <x:c r="B9" s="62" t="str">
        <x:v>Monety na zdolności</x:v>
      </x:c>
      <x:c r="C9" s="62" t="str">
        <x:v>Koszt ustala karta</x:v>
      </x:c>
      <x:c r="D9" s="62" t="str">
        <x:v>Karty startowe NIE mają płatnych umiejętności</x:v>
      </x:c>
      <x:c r="E9" s="62" t="str">
        <x:v>Ustalone</x:v>
      </x:c>
    </x:row>
  </x:sheetData>
  <x:mergeCells>
    <x:mergeCell ref="A1:E2"/>
    <x:mergeCell ref="A3:E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25" hidden="0" customWidth="1"/>
    <x:col min="3" max="3" width="48" hidden="0" customWidth="1"/>
    <x:col min="4" max="4" width="3" hidden="0" customWidth="1"/>
    <x:col min="5" max="5" width="24" hidden="0" customWidth="1"/>
    <x:col min="6" max="6" width="25" hidden="0" customWidth="1"/>
    <x:col min="7" max="7" width="19" hidden="0" customWidth="1"/>
    <x:col min="8" max="8" width="41" hidden="0" customWidth="1"/>
  </x:cols>
  <x:sheetData>
    <x:row r="1" ht="34" customHeight="1">
      <x:c r="A1" s="80" t="str">
        <x:v>BALANS  |  MODEL TESTOWY KART STARTOWYCH</x:v>
      </x:c>
      <x:c r="B1" s="80"/>
      <x:c r="C1" s="80"/>
      <x:c r="D1" s="80"/>
      <x:c r="E1" s="80"/>
      <x:c r="F1" s="80"/>
      <x:c r="G1" s="80"/>
      <x:c r="H1" s="80"/>
    </x:row>
    <x:row r="3" ht="32" customHeight="1">
      <x:c r="A3" s="83" t="str">
        <x:v>Nowa reguła: co turę na ręce +2 łącznie do ATK/MAX HP oraz co 3 tury bez wyjątku ulepszenie efektu; karty z cechami binarnymi wymagają opisu ulepszenia.</x:v>
      </x:c>
      <x:c r="B3" s="83"/>
      <x:c r="C3" s="83"/>
      <x:c r="D3" s="83"/>
      <x:c r="E3" s="83"/>
      <x:c r="F3" s="83"/>
      <x:c r="G3" s="83"/>
      <x:c r="H3" s="83"/>
    </x:row>
    <x:row r="5" ht="44" customHeight="1">
      <x:c r="A5" s="91" t="str">
        <x:v>Horyzont testu [własne tury]</x:v>
      </x:c>
      <x:c r="B5" s="92" t="n">
        <x:v>6</x:v>
      </x:c>
      <x:c r="C5" s="91" t="str">
        <x:v>Pierwszy etap: sprawdzamy, co dzieje się przed / tuż po pierwszych aukcjach.</x:v>
      </x:c>
      <x:c r="D5" s="91"/>
      <x:c r="E5" s="93" t="str">
        <x:v>Frakcja</x:v>
      </x:c>
      <x:c r="F5" s="93" t="str">
        <x:v>Moment</x:v>
      </x:c>
      <x:c r="G5" s="93" t="str">
        <x:v>Szac. aktywacje</x:v>
      </x:c>
      <x:c r="H5" s="93" t="str">
        <x:v>Zastrzeżenie</x:v>
      </x:c>
    </x:row>
    <x:row r="6" ht="44" customHeight="1">
      <x:c r="A6" s="91" t="str">
        <x:v>Średnio własnych końców tury na planszy</x:v>
      </x:c>
      <x:c r="B6" s="92" t="n">
        <x:v>2.5</x:v>
      </x:c>
      <x:c r="C6" s="91" t="str">
        <x:v>Wlicza turę wystawienia. Zdolność końca tury działa od razu.</x:v>
      </x:c>
      <x:c r="D6" s="91"/>
      <x:c r="E6" s="91" t="str">
        <x:v>Elfy</x:v>
      </x:c>
      <x:c r="F6" s="91" t="str">
        <x:v>Przy wystawieniu</x:v>
      </x:c>
      <x:c r="G6" s="94" t="n">
        <x:f>1</x:f>
        <x:v>1</x:v>
      </x:c>
      <x:c r="H6" s="91" t="str">
        <x:v>Po wystawieniu z ręki; wskrzeszenie nie uruchamia.</x:v>
      </x:c>
    </x:row>
    <x:row r="7" ht="44" customHeight="1">
      <x:c r="A7" s="91" t="str">
        <x:v>Ataki na gotową jednostkę / własną turę</x:v>
      </x:c>
      <x:c r="B7" s="92" t="n">
        <x:v>0.8</x:v>
      </x:c>
      <x:c r="C7" s="91" t="str">
        <x:v>Nie każda jednostka przeżyje i nie zawsze opłaca się atakować.</x:v>
      </x:c>
      <x:c r="D7" s="91"/>
      <x:c r="E7" s="91" t="str">
        <x:v>Dzikie bestie</x:v>
      </x:c>
      <x:c r="F7" s="91" t="str">
        <x:v>Przy ataku</x:v>
      </x:c>
      <x:c r="G7" s="94" t="n">
        <x:f>MAX(0,$B$6-1)*$B$7</x:f>
        <x:v>1.2000000000000002</x:v>
      </x:c>
      <x:c r="H7" s="91" t="str">
        <x:v>Średnia orientacyjna, wyższa przy Podwójnym ataku.</x:v>
      </x:c>
    </x:row>
    <x:row r="8" ht="44" customHeight="1">
      <x:c r="A8" s="91" t="str">
        <x:v>Prawdopodobieństwo śmierci na planszy</x:v>
      </x:c>
      <x:c r="B8" s="92" t="n">
        <x:v>0.6</x:v>
      </x:c>
      <x:c r="C8" s="91" t="str">
        <x:v>Zastąpienie nie uruchamia zdolności Przy śmierci.</x:v>
      </x:c>
      <x:c r="D8" s="91"/>
      <x:c r="E8" s="91" t="str">
        <x:v>Potwory</x:v>
      </x:c>
      <x:c r="F8" s="91" t="str">
        <x:v>Przy śmierci</x:v>
      </x:c>
      <x:c r="G8" s="94" t="n">
        <x:f>$B$8</x:f>
        <x:v>0.6</x:v>
      </x:c>
      <x:c r="H8" s="91" t="str">
        <x:v>Niepewny, możliwy do pominięcia po zastąpieniu.</x:v>
      </x:c>
    </x:row>
    <x:row r="9" ht="44" customHeight="1">
      <x:c r="A9" s="91" t="str">
        <x:v>Przeciętni odbiorcy aury pasywnej</x:v>
      </x:c>
      <x:c r="B9" s="92" t="n">
        <x:v>1.5</x:v>
      </x:c>
      <x:c r="C9" s="91" t="str">
        <x:v>Szacunek do testu efektów wielocelowych; zależy od zajętości planszy.</x:v>
      </x:c>
      <x:c r="D9" s="91"/>
      <x:c r="E9" s="91" t="str">
        <x:v>Krasnoludy</x:v>
      </x:c>
      <x:c r="F9" s="91" t="str">
        <x:v>Na koniec tury</x:v>
      </x:c>
      <x:c r="G9" s="94" t="n">
        <x:f>$B$6</x:f>
        <x:v>2.5</x:v>
      </x:c>
      <x:c r="H9" s="91" t="str">
        <x:v>Liczymy także koniec tury wystawienia.</x:v>
      </x:c>
    </x:row>
    <x:row r="10" ht="44" customHeight="1">
      <x:c r="A10" s="91" t="str">
        <x:v>Tury przetrzymania karty na ręce</x:v>
      </x:c>
      <x:c r="B10" s="92" t="n">
        <x:v>3</x:v>
      </x:c>
      <x:c r="C10" s="91" t="str">
        <x:v>Parametr projekcji statystyk w arkuszu „Balans — karty”.</x:v>
      </x:c>
      <x:c r="D10" s="91"/>
      <x:c r="E10" s="91" t="str">
        <x:v>Ludzie</x:v>
      </x:c>
      <x:c r="F10" s="91" t="str">
        <x:v>Pasywna</x:v>
      </x:c>
      <x:c r="G10" s="94" t="n">
        <x:f>$B$6*$B$9</x:f>
        <x:v>3.75</x:v>
      </x:c>
      <x:c r="H10" s="91" t="str">
        <x:v>Ważone obecnością jednostki i liczbą celów aury.</x:v>
      </x:c>
    </x:row>
    <x:row r="11" ht="44" customHeight="1">
      <x:c r="A11" s="91" t="str">
        <x:v>Stały wzrost ATK + MAX HP na turę ręki</x:v>
      </x:c>
      <x:c r="B11" s="142" t="n">
        <x:v>2</x:v>
      </x:c>
      <x:c r="C11" s="91" t="str">
        <x:v>Łącznie dokładnie 2 pkt co własną turę: 2/0, 0/2 lub 1/1; dobór profilu wg karty.</x:v>
      </x:c>
      <x:c r="D11" s="91"/>
      <x:c r="E11" s="91"/>
      <x:c r="F11" s="91"/>
      <x:c r="G11" s="91"/>
      <x:c r="H11" s="91"/>
    </x:row>
    <x:row r="12" ht="44" customHeight="1">
      <x:c r="A12" s="91" t="str">
        <x:v>Co ile tur ulepszenie zdolności</x:v>
      </x:c>
      <x:c r="B12" s="142" t="n">
        <x:v>3</x:v>
      </x:c>
      <x:c r="C12" s="91" t="str">
        <x:v>Każda karta po 3, 6, 9... turach na ręce otrzymuje kolejny poziom ulepszenia swojej zdolności.</x:v>
      </x:c>
      <x:c r="D12" s="91"/>
      <x:c r="E12" s="91"/>
      <x:c r="F12" s="91"/>
      <x:c r="G12" s="91"/>
      <x:c r="H12" s="91"/>
    </x:row>
    <x:row r="13" ht="44" customHeight="1">
      <x:c r="A13" s="91" t="str">
        <x:v>Odniesienie: bazowy ATK</x:v>
      </x:c>
      <x:c r="B13" s="92" t="n">
        <x:v>2</x:v>
      </x:c>
      <x:c r="C13" s="91" t="str">
        <x:v>Przykładowy punkt odniesienia, nie minimum i nie reguła.</x:v>
      </x:c>
      <x:c r="D13" s="91"/>
      <x:c r="E13" s="93" t="str">
        <x:v>Moment</x:v>
      </x:c>
      <x:c r="F13" s="93" t="str">
        <x:v>Siła jednej aktywacji*</x:v>
      </x:c>
      <x:c r="G13" s="93" t="str">
        <x:v>Aktywacje</x:v>
      </x:c>
      <x:c r="H13" s="93" t="str">
        <x:v>Siła łączna*</x:v>
      </x:c>
    </x:row>
    <x:row r="14" ht="44" customHeight="1">
      <x:c r="A14" s="91" t="str">
        <x:v>Odniesienie: bazowy MAX HP</x:v>
      </x:c>
      <x:c r="B14" s="92" t="n">
        <x:v>6</x:v>
      </x:c>
      <x:c r="C14" s="91" t="str">
        <x:v>Przykładowy punkt odniesienia, nie minimum i nie reguła.</x:v>
      </x:c>
      <x:c r="D14" s="91"/>
      <x:c r="E14" s="91" t="str">
        <x:v>Przy wystawieniu</x:v>
      </x:c>
      <x:c r="F14" s="92" t="n">
        <x:v>3</x:v>
      </x:c>
      <x:c r="G14" s="91" t="n">
        <x:f>$G$6</x:f>
        <x:v>1</x:v>
      </x:c>
      <x:c r="H14" s="94" t="n">
        <x:f>F14*G14</x:f>
        <x:v>3</x:v>
      </x:c>
    </x:row>
    <x:row r="15" ht="44" customHeight="1">
      <x:c r="A15" s="91"/>
      <x:c r="B15" s="91"/>
      <x:c r="C15" s="91"/>
      <x:c r="D15" s="91"/>
      <x:c r="E15" s="91" t="str">
        <x:v>Przy ataku</x:v>
      </x:c>
      <x:c r="F15" s="92" t="n">
        <x:v>1</x:v>
      </x:c>
      <x:c r="G15" s="91" t="n">
        <x:f>$G$7</x:f>
        <x:v>1.2000000000000002</x:v>
      </x:c>
      <x:c r="H15" s="94" t="n">
        <x:f>F15*G15</x:f>
        <x:v>1.2000000000000002</x:v>
      </x:c>
    </x:row>
    <x:row r="16" ht="44" customHeight="1">
      <x:c r="A16" s="91"/>
      <x:c r="B16" s="91"/>
      <x:c r="C16" s="91"/>
      <x:c r="D16" s="91"/>
      <x:c r="E16" s="91" t="str">
        <x:v>Przy śmierci</x:v>
      </x:c>
      <x:c r="F16" s="92" t="n">
        <x:v>4</x:v>
      </x:c>
      <x:c r="G16" s="91" t="n">
        <x:f>$G$8</x:f>
        <x:v>0.6</x:v>
      </x:c>
      <x:c r="H16" s="94" t="n">
        <x:f>F16*G16</x:f>
        <x:v>2.4</x:v>
      </x:c>
    </x:row>
    <x:row r="17" ht="44" customHeight="1">
      <x:c r="A17" s="95" t="str">
        <x:v>PODSTAWOWA ZASADA: silniejsza jednorazowa aktywacja ≠ automatycznie silniejsza karta w całym meczu.</x:v>
      </x:c>
      <x:c r="B17" s="95"/>
      <x:c r="C17" s="95"/>
      <x:c r="D17" s="95"/>
      <x:c r="E17" s="95" t="str">
        <x:v>Na koniec tury</x:v>
      </x:c>
      <x:c r="F17" s="95" t="n">
        <x:v>1</x:v>
      </x:c>
      <x:c r="G17" s="95" t="n">
        <x:f>$G$9</x:f>
        <x:v>2.5</x:v>
      </x:c>
      <x:c r="H17" s="95" t="n">
        <x:f>F17*G17</x:f>
        <x:v>2.5</x:v>
      </x:c>
    </x:row>
    <x:row r="18" ht="44" customHeight="1">
      <x:c r="A18" s="91"/>
      <x:c r="B18" s="91"/>
      <x:c r="C18" s="91"/>
      <x:c r="D18" s="91"/>
      <x:c r="E18" s="91" t="str">
        <x:v>Pasywna</x:v>
      </x:c>
      <x:c r="F18" s="92" t="n">
        <x:v>1</x:v>
      </x:c>
      <x:c r="G18" s="91" t="n">
        <x:f>$G$10</x:f>
        <x:v>3.75</x:v>
      </x:c>
      <x:c r="H18" s="94" t="n">
        <x:f>F18*G18</x:f>
        <x:v>3.75</x:v>
      </x:c>
    </x:row>
    <x:row r="19" ht="44" customHeight="1">
      <x:c r="A19" s="91" t="str">
        <x:v>1.</x:v>
      </x:c>
      <x:c r="B19" s="91" t="str">
        <x:v>Statystyki bazowe</x:v>
      </x:c>
      <x:c r="C19" s="91" t="str">
        <x:v>Początkowy ATK i HP to zasób pozwalający wykonać ataki oraz utrzymać zdolność na planszy.</x:v>
      </x:c>
      <x:c r="D19" s="91"/>
      <x:c r="E19" s="91"/>
      <x:c r="F19" s="91"/>
      <x:c r="G19" s="91"/>
      <x:c r="H19" s="91"/>
    </x:row>
    <x:row r="20" ht="44" customHeight="1">
      <x:c r="A20" s="91" t="str">
        <x:v>2.</x:v>
      </x:c>
      <x:c r="B20" s="91" t="str">
        <x:v>Częstotliwość</x:v>
      </x:c>
      <x:c r="C20" s="91" t="str">
        <x:v>Przy wystawieniu = raz; Przy śmierci = warunkowo; Przy ataku / Na koniec tury = wielokrotnie.</x:v>
      </x:c>
      <x:c r="D20" s="91"/>
      <x:c r="E20" s="97" t="str">
        <x:v>* To wyłącznie ilustracyjne wartości obrażeń/leczenia w jednej rodzinie. Tarcza, taunt, ogłuszenie i inne efekty jakościowe wymagają osobnych testów.</x:v>
      </x:c>
      <x:c r="F20" s="97"/>
      <x:c r="G20" s="97"/>
      <x:c r="H20" s="97"/>
    </x:row>
    <x:row r="21" ht="44" customHeight="1">
      <x:c r="A21" s="91" t="str">
        <x:v>3.</x:v>
      </x:c>
      <x:c r="B21" s="91" t="str">
        <x:v>Rodzina efektu</x:v>
      </x:c>
      <x:c r="C21" s="91" t="str">
        <x:v>Osobno porównuj obrażenia, leczenie, pancerz, ATK ±, HP ±, statusy i cechy binarne.</x:v>
      </x:c>
      <x:c r="D21" s="91"/>
      <x:c r="E21" s="97"/>
      <x:c r="F21" s="97"/>
      <x:c r="G21" s="97"/>
      <x:c r="H21" s="97"/>
    </x:row>
    <x:row r="22" ht="44" customHeight="1">
      <x:c r="A22" s="91" t="str">
        <x:v>4.</x:v>
      </x:c>
      <x:c r="B22" s="91" t="str">
        <x:v>Zajętość planszy</x:v>
      </x:c>
      <x:c r="C22" s="91" t="str">
        <x:v>Pasywne z dużą liczbą odbiorców i efekty blokujące mogą skalować się szybciej niż liczby sugerują.</x:v>
      </x:c>
      <x:c r="D22" s="91"/>
      <x:c r="E22" s="91"/>
      <x:c r="F22" s="91"/>
      <x:c r="G22" s="91"/>
      <x:c r="H22" s="91"/>
    </x:row>
    <x:row r="23" ht="44" customHeight="1">
      <x:c r="A23" s="91" t="str">
        <x:v>5.</x:v>
      </x:c>
      <x:c r="B23" s="91" t="str">
        <x:v>Trzymanie na ręce</x:v>
      </x:c>
      <x:c r="C23" s="91" t="str">
        <x:v>Dla wszystkich kart wzrost statystyk co turę (+2/0, +1/+1 lub 0/+2); zdolność wzrasta dokładnie po 3, 6, 9... turach.</x:v>
      </x:c>
      <x:c r="D23" s="91"/>
      <x:c r="E23" s="99" t="str">
        <x:v>Kolejność: wybierz archetypy → nadaj im wspólną skalę bazowych statystyk → dodaj przyrosty na ręce → zasymuluj reprezentatywne starcia → skoryguj ekstremalne synergie.</x:v>
      </x:c>
      <x:c r="F23" s="99"/>
      <x:c r="G23" s="99"/>
      <x:c r="H23" s="99"/>
    </x:row>
    <x:row r="24" ht="44" customHeight="1">
      <x:c r="A24" s="91" t="str">
        <x:v>6.</x:v>
      </x:c>
      <x:c r="B24" s="91" t="str">
        <x:v>Symulacje</x:v>
      </x:c>
      <x:c r="C24" s="91" t="str">
        <x:v>Testuj: szybki agresywny start, wytrzymałą planszę, synergie pasywne, trucizny, ogłuszenia.</x:v>
      </x:c>
      <x:c r="D24" s="91"/>
      <x:c r="E24" s="99"/>
      <x:c r="F24" s="99"/>
      <x:c r="G24" s="99"/>
      <x:c r="H24" s="99"/>
    </x:row>
    <x:row r="25" ht="44" customHeight="1">
      <x:c r="A25" s="91" t="str">
        <x:v>7.</x:v>
      </x:c>
      <x:c r="B25" s="91" t="str">
        <x:v>Mierniki</x:v>
      </x:c>
      <x:c r="C25" s="91" t="str">
        <x:v>Wygrane, długość partii, niewykorzystane karty, średnie aktywacje i przewaga frakcji.</x:v>
      </x:c>
      <x:c r="D25" s="91"/>
      <x:c r="E25" s="99"/>
      <x:c r="F25" s="99"/>
      <x:c r="G25" s="99"/>
      <x:c r="H25" s="99"/>
    </x:row>
  </x:sheetData>
  <x:mergeCells>
    <x:mergeCell ref="A1:H1"/>
    <x:mergeCell ref="A3:H3"/>
    <x:mergeCell ref="A17:H17"/>
    <x:mergeCell ref="E20:H21"/>
    <x:mergeCell ref="E23:H2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16" hidden="0" customWidth="1"/>
    <x:col min="3" max="3" width="21" hidden="0" customWidth="1"/>
    <x:col min="4" max="4" width="19" hidden="0" customWidth="1"/>
    <x:col min="5" max="5" width="28" hidden="0" customWidth="1"/>
    <x:col min="6" max="6" width="14" hidden="0" customWidth="1"/>
    <x:col min="7" max="7" width="14" hidden="0" customWidth="1"/>
    <x:col min="8" max="8" width="18" hidden="0" customWidth="1"/>
    <x:col min="9" max="9" width="18" hidden="0" customWidth="1"/>
    <x:col min="10" max="10" width="17" hidden="0" customWidth="1"/>
    <x:col min="11" max="11" width="17" hidden="0" customWidth="1"/>
    <x:col min="12" max="12" width="18" hidden="0" customWidth="1"/>
    <x:col min="13" max="13" width="18" hidden="0" customWidth="1"/>
    <x:col min="14" max="14" width="18" hidden="0" customWidth="1"/>
    <x:col min="15" max="15" width="17" hidden="0" customWidth="1"/>
    <x:col min="16" max="16" width="38" hidden="0" customWidth="1"/>
    <x:col min="17" max="17" width="19" hidden="0" customWidth="1"/>
    <x:col min="18" max="18" width="20" hidden="0" customWidth="1"/>
    <x:col min="19" max="19" width="27" hidden="0" customWidth="1"/>
    <x:col min="20" max="20" width="48" hidden="0" customWidth="1"/>
    <x:col min="21" max="21" width="19" hidden="0" customWidth="1"/>
    <x:col min="22" max="22" width="19" hidden="0" customWidth="1"/>
    <x:col min="23" max="23" width="46" hidden="0" customWidth="1"/>
  </x:cols>
  <x:sheetData>
    <x:row r="1" ht="35" customHeight="1">
      <x:c r="A1" s="80" t="str">
        <x:v>BALANS KART STARTOWYCH  |  PORÓWNANIE ARCHETYPÓW</x:v>
      </x:c>
      <x:c r="B1" s="80"/>
      <x:c r="C1" s="80"/>
      <x:c r="D1" s="80"/>
      <x:c r="E1" s="80"/>
      <x:c r="F1" s="80"/>
      <x:c r="G1" s="80"/>
      <x:c r="H1" s="80"/>
      <x:c r="I1" s="80"/>
      <x:c r="J1" s="80"/>
      <x:c r="K1" s="80"/>
      <x:c r="L1" s="80"/>
      <x:c r="M1" s="80"/>
      <x:c r="N1" s="80"/>
      <x:c r="O1" s="80"/>
      <x:c r="P1" s="80"/>
    </x:row>
    <x:row r="2" ht="28" customHeight="1">
      <x:c r="A2" s="101" t="str">
        <x:v>Ustalona reguła skalowania: na końcu własnej tury +2 łącznie do ATK/MAX HP, a co 3 takie tury ulepszenie zdolności. Profil Q edytowalny.</x:v>
      </x:c>
      <x:c r="B2" s="101"/>
      <x:c r="C2" s="101"/>
      <x:c r="D2" s="101"/>
      <x:c r="E2" s="101"/>
      <x:c r="F2" s="101"/>
      <x:c r="G2" s="101"/>
      <x:c r="H2" s="101"/>
      <x:c r="I2" s="101"/>
      <x:c r="J2" s="101"/>
      <x:c r="K2" s="101"/>
      <x:c r="L2" s="101"/>
      <x:c r="M2" s="101"/>
      <x:c r="N2" s="101"/>
      <x:c r="O2" s="101"/>
      <x:c r="P2" s="101"/>
    </x:row>
    <x:row r="3" ht="28" customHeight="1">
      <x:c r="A3" s="101" t="str">
        <x:v>Wartości J/K zawierają również dodatkowe bonusy 3-turowe dla Szybkiego ataku, Podwójnego ataku, Tarczy i Prowokacji. Bez zmiany limitów ataków/tarcz.</x:v>
      </x:c>
      <x:c r="B3" s="101"/>
      <x:c r="C3" s="101"/>
      <x:c r="D3" s="101"/>
      <x:c r="E3" s="101"/>
      <x:c r="F3" s="101"/>
      <x:c r="G3" s="101"/>
      <x:c r="H3" s="101"/>
      <x:c r="I3" s="101"/>
      <x:c r="J3" s="101"/>
      <x:c r="K3" s="101"/>
      <x:c r="L3" s="101"/>
      <x:c r="M3" s="101"/>
      <x:c r="N3" s="101"/>
      <x:c r="O3" s="101"/>
      <x:c r="P3" s="101"/>
    </x:row>
    <x:row r="5" ht="42" customHeight="1">
      <x:c r="A5" s="103" t="str">
        <x:v>ID</x:v>
      </x:c>
      <x:c r="B5" s="103" t="str">
        <x:v>Frakcja</x:v>
      </x:c>
      <x:c r="C5" s="103" t="str">
        <x:v>Moment</x:v>
      </x:c>
      <x:c r="D5" s="103" t="str">
        <x:v>Rodzina efektu</x:v>
      </x:c>
      <x:c r="E5" s="103" t="str">
        <x:v>Archetyp</x:v>
      </x:c>
      <x:c r="F5" s="103" t="str">
        <x:v>ATK bazowe</x:v>
      </x:c>
      <x:c r="G5" s="103" t="str">
        <x:v>MAX HP bazowe</x:v>
      </x:c>
      <x:c r="H5" s="147" t="str">
        <x:v>+ATK / turę na ręce</x:v>
      </x:c>
      <x:c r="I5" s="147" t="str">
        <x:v>+HP / turę na ręce</x:v>
      </x:c>
      <x:c r="J5" s="103" t="str">
        <x:v>ATK po N turach</x:v>
      </x:c>
      <x:c r="K5" s="103" t="str">
        <x:v>HP po N turach</x:v>
      </x:c>
      <x:c r="L5" s="103" t="str">
        <x:v>Szac. aktywacje</x:v>
      </x:c>
      <x:c r="M5" s="103" t="str">
        <x:v>Siła 1 efektu*</x:v>
      </x:c>
      <x:c r="N5" s="103" t="str">
        <x:v>Siła łączna*</x:v>
      </x:c>
      <x:c r="O5" s="103" t="str">
        <x:v>Ocena balansu</x:v>
      </x:c>
      <x:c r="P5" s="103" t="str">
        <x:v>Uwagi testowe</x:v>
      </x:c>
      <x:c r="Q5" s="145" t="str">
        <x:v>Profil przyrostu</x:v>
      </x:c>
      <x:c r="R5" s="145" t="str">
        <x:v>Ulepszenia efektu po N</x:v>
      </x:c>
      <x:c r="S5" s="145" t="str">
        <x:v>Przewidywana siła efektu*</x:v>
      </x:c>
      <x:c r="T5" s="145" t="str">
        <x:v>Ważność definicji</x:v>
      </x:c>
      <x:c r="U5" s="159" t="str">
        <x:v>Bonus cechy ATK po N</x:v>
      </x:c>
      <x:c r="V5" s="159" t="str">
        <x:v>Bonus cechy HP po N</x:v>
      </x:c>
      <x:c r="W5" s="159" t="str">
        <x:v>Reguła specjalnego przyrostu co 3 tury</x:v>
      </x:c>
    </x:row>
    <x:row r="6" ht="23" customHeight="1">
      <x:c r="A6" t="str">
        <x:f>'Katalog kart'!A8</x:f>
        <x:v>S01</x:v>
      </x:c>
      <x:c r="B6" t="str">
        <x:f>'Katalog kart'!M8</x:f>
        <x:v>Elfy</x:v>
      </x:c>
      <x:c r="C6" t="str">
        <x:f>'Katalog kart'!B8</x:f>
        <x:v>Przy wystawieniu</x:v>
      </x:c>
      <x:c r="D6" t="str">
        <x:f>'Katalog kart'!C8</x:f>
        <x:v>Obrażenia</x:v>
      </x:c>
      <x:c r="E6" t="str">
        <x:f>'Katalog kart'!D8</x:f>
        <x:v>Mag Zorzy</x:v>
      </x:c>
      <x:c r="F6" t="n">
        <x:f>'Katalog kart'!E8</x:f>
        <x:v>1</x:v>
      </x:c>
      <x:c r="G6" t="n">
        <x:f>'Katalog kart'!F8</x:f>
        <x:v>4</x:v>
      </x:c>
      <x:c r="H6" s="86" t="n">
        <x:f>IF(Q6="Ofensywny",'Balans — metoda'!$B$11,IF(Q6="Defensywny",0,'Balans — metoda'!$B$11/2))</x:f>
        <x:v>1</x:v>
      </x:c>
      <x:c r="I6" s="86" t="n">
        <x:f>'Balans — metoda'!$B$11-H6</x:f>
        <x:v>1</x:v>
      </x:c>
      <x:c r="J6" s="81" t="n">
        <x:f>F6+H6*'Balans — metoda'!$B$10+U6</x:f>
        <x:v>4</x:v>
      </x:c>
      <x:c r="K6" s="81" t="n">
        <x:f>G6+I6*'Balans — metoda'!$B$10+V6</x:f>
        <x:v>7</x:v>
      </x:c>
      <x:c r="L6" s="104" t="n">
        <x:f>IFERROR(VLOOKUP(C6,'Balans — metoda'!$F$6:$G$10,2,FALSE),0)</x:f>
        <x:v>1</x:v>
      </x:c>
      <x:c r="M6" s="86"/>
      <x:c r="N6" s="104" t="str">
        <x:f>IF(ISNUMBER(M6),M6*L6,"")</x:f>
      </x:c>
      <x:c r="O6" s="86" t="str">
        <x:v>Do oceny</x:v>
      </x:c>
      <x:c r="P6" s="86"/>
      <x:c r="Q6" s="146" t="str">
        <x:v>Zrównoważony</x:v>
      </x:c>
      <x:c r="R6" t="n">
        <x:f>INT('Balans — metoda'!$B$10/'Balans — metoda'!$B$12)</x:f>
        <x:v>1</x:v>
      </x:c>
      <x:c r="S6" t="str">
        <x:f>IF(OR(D6="Szybki atak",D6="Podwójny atak",D6="Tarcza",D6="Prowokacja"),"Patrz J/K",IF(ISNUMBER(M6),M6+R6,"Do opisania"))</x:f>
        <x:v>Do opisania</x:v>
      </x:c>
      <x:c r="T6" t="str">
        <x:v>Efekt liczbowy — proponuj +1 mocy na poziom</x:v>
      </x:c>
      <x:c r="U6" s="160" t="n">
        <x:f>IFERROR(R6*VLOOKUP(D6,'Premie cech'!$A$6:$C$9,2,FALSE),0)</x:f>
        <x:v>0</x:v>
      </x:c>
      <x:c r="V6" s="160" t="n">
        <x:f>IFERROR(R6*VLOOKUP(D6,'Premie cech'!$A$6:$C$9,3,FALSE),0)</x:f>
        <x:v>0</x:v>
      </x:c>
      <x:c r="W6" s="91"/>
    </x:row>
    <x:row r="7" ht="23" customHeight="1">
      <x:c r="A7" t="str">
        <x:f>'Katalog kart'!A9</x:f>
        <x:v>S02</x:v>
      </x:c>
      <x:c r="B7" t="str">
        <x:f>'Katalog kart'!M9</x:f>
        <x:v>Elfy</x:v>
      </x:c>
      <x:c r="C7" t="str">
        <x:f>'Katalog kart'!B9</x:f>
        <x:v>Przy wystawieniu</x:v>
      </x:c>
      <x:c r="D7" t="str">
        <x:f>'Katalog kart'!C9</x:f>
        <x:v>Leczenie</x:v>
      </x:c>
      <x:c r="E7" t="str">
        <x:f>'Katalog kart'!D9</x:f>
        <x:v>Kapłanka Srebrnego Blasku</x:v>
      </x:c>
      <x:c r="F7" t="n">
        <x:f>'Katalog kart'!E9</x:f>
        <x:v>3</x:v>
      </x:c>
      <x:c r="G7" t="n">
        <x:f>'Katalog kart'!F9</x:f>
        <x:v>5</x:v>
      </x:c>
      <x:c r="H7" s="86" t="n">
        <x:f>IF(Q7="Ofensywny",'Balans — metoda'!$B$11,IF(Q7="Defensywny",0,'Balans — metoda'!$B$11/2))</x:f>
        <x:v>0</x:v>
      </x:c>
      <x:c r="I7" s="86" t="n">
        <x:f>'Balans — metoda'!$B$11-H7</x:f>
        <x:v>2</x:v>
      </x:c>
      <x:c r="J7" s="81" t="n">
        <x:f>F7+H7*'Balans — metoda'!$B$10+U7</x:f>
        <x:v>3</x:v>
      </x:c>
      <x:c r="K7" s="81" t="n">
        <x:f>G7+I7*'Balans — metoda'!$B$10+V7</x:f>
        <x:v>11</x:v>
      </x:c>
      <x:c r="L7" s="104" t="n">
        <x:f>IFERROR(VLOOKUP(C7,'Balans — metoda'!$F$6:$G$10,2,FALSE),0)</x:f>
        <x:v>1</x:v>
      </x:c>
      <x:c r="M7" s="86"/>
      <x:c r="N7" s="104" t="str">
        <x:f>IF(ISNUMBER(M7),M7*L7,"")</x:f>
      </x:c>
      <x:c r="O7" s="86" t="str">
        <x:v>Do oceny</x:v>
      </x:c>
      <x:c r="P7" s="86"/>
      <x:c r="Q7" s="146" t="str">
        <x:v>Defensywny</x:v>
      </x:c>
      <x:c r="R7" t="n">
        <x:f>INT('Balans — metoda'!$B$10/'Balans — metoda'!$B$12)</x:f>
        <x:v>1</x:v>
      </x:c>
      <x:c r="S7" t="str">
        <x:f>IF(OR(D7="Szybki atak",D7="Podwójny atak",D7="Tarcza",D7="Prowokacja"),"Patrz J/K",IF(ISNUMBER(M7),M7+R7,"Do opisania"))</x:f>
        <x:v>Do opisania</x:v>
      </x:c>
      <x:c r="T7" t="str">
        <x:v>Efekt liczbowy — proponuj +1 mocy na poziom</x:v>
      </x:c>
      <x:c r="U7" s="160" t="n">
        <x:f>IFERROR(R7*VLOOKUP(D7,'Premie cech'!$A$6:$C$9,2,FALSE),0)</x:f>
        <x:v>0</x:v>
      </x:c>
      <x:c r="V7" s="160" t="n">
        <x:f>IFERROR(R7*VLOOKUP(D7,'Premie cech'!$A$6:$C$9,3,FALSE),0)</x:f>
        <x:v>0</x:v>
      </x:c>
      <x:c r="W7" s="91"/>
    </x:row>
    <x:row r="8" ht="23" customHeight="1">
      <x:c r="A8" t="str">
        <x:f>'Katalog kart'!A10</x:f>
        <x:v>S04</x:v>
      </x:c>
      <x:c r="B8" t="str">
        <x:f>'Katalog kart'!M10</x:f>
        <x:v>Elfy</x:v>
      </x:c>
      <x:c r="C8" t="str">
        <x:f>'Katalog kart'!B10</x:f>
        <x:v>Przy wystawieniu</x:v>
      </x:c>
      <x:c r="D8" t="str">
        <x:f>'Katalog kart'!C10</x:f>
        <x:v>ATK ±</x:v>
      </x:c>
      <x:c r="E8" t="str">
        <x:f>'Katalog kart'!D10</x:f>
        <x:v>Tkacz Run</x:v>
      </x:c>
      <x:c r="F8" t="n">
        <x:f>'Katalog kart'!E10</x:f>
        <x:v>1</x:v>
      </x:c>
      <x:c r="G8" t="n">
        <x:f>'Katalog kart'!F10</x:f>
        <x:v>4</x:v>
      </x:c>
      <x:c r="H8" s="86" t="n">
        <x:f>IF(Q8="Ofensywny",'Balans — metoda'!$B$11,IF(Q8="Defensywny",0,'Balans — metoda'!$B$11/2))</x:f>
        <x:v>2</x:v>
      </x:c>
      <x:c r="I8" s="86" t="n">
        <x:f>'Balans — metoda'!$B$11-H8</x:f>
        <x:v>0</x:v>
      </x:c>
      <x:c r="J8" s="81" t="n">
        <x:f>F8+H8*'Balans — metoda'!$B$10+U8</x:f>
        <x:v>7</x:v>
      </x:c>
      <x:c r="K8" s="81" t="n">
        <x:f>G8+I8*'Balans — metoda'!$B$10+V8</x:f>
        <x:v>4</x:v>
      </x:c>
      <x:c r="L8" s="104" t="n">
        <x:f>IFERROR(VLOOKUP(C8,'Balans — metoda'!$F$6:$G$10,2,FALSE),0)</x:f>
        <x:v>1</x:v>
      </x:c>
      <x:c r="M8" s="86"/>
      <x:c r="N8" s="104" t="str">
        <x:f>IF(ISNUMBER(M8),M8*L8,"")</x:f>
      </x:c>
      <x:c r="O8" s="86" t="str">
        <x:v>Do oceny</x:v>
      </x:c>
      <x:c r="P8" s="86"/>
      <x:c r="Q8" s="146" t="str">
        <x:v>Ofensywny</x:v>
      </x:c>
      <x:c r="R8" t="n">
        <x:f>INT('Balans — metoda'!$B$10/'Balans — metoda'!$B$12)</x:f>
        <x:v>1</x:v>
      </x:c>
      <x:c r="S8" t="str">
        <x:f>IF(OR(D8="Szybki atak",D8="Podwójny atak",D8="Tarcza",D8="Prowokacja"),"Patrz J/K",IF(ISNUMBER(M8),M8+R8,"Do opisania"))</x:f>
        <x:v>Do opisania</x:v>
      </x:c>
      <x:c r="T8" t="str">
        <x:v>Efekt liczbowy — proponuj +1 mocy na poziom</x:v>
      </x:c>
      <x:c r="U8" s="160" t="n">
        <x:f>IFERROR(R8*VLOOKUP(D8,'Premie cech'!$A$6:$C$9,2,FALSE),0)</x:f>
        <x:v>0</x:v>
      </x:c>
      <x:c r="V8" s="160" t="n">
        <x:f>IFERROR(R8*VLOOKUP(D8,'Premie cech'!$A$6:$C$9,3,FALSE),0)</x:f>
        <x:v>0</x:v>
      </x:c>
      <x:c r="W8" s="91"/>
    </x:row>
    <x:row r="9" ht="23" customHeight="1">
      <x:c r="A9" t="str">
        <x:f>'Katalog kart'!A11</x:f>
        <x:v>S08</x:v>
      </x:c>
      <x:c r="B9" t="str">
        <x:f>'Katalog kart'!M11</x:f>
        <x:v>Elfy</x:v>
      </x:c>
      <x:c r="C9" t="str">
        <x:f>'Katalog kart'!B11</x:f>
        <x:v>Przy wystawieniu</x:v>
      </x:c>
      <x:c r="D9" t="str">
        <x:f>'Katalog kart'!C11</x:f>
        <x:v>MAX HP ±</x:v>
      </x:c>
      <x:c r="E9" t="str">
        <x:f>'Katalog kart'!D11</x:f>
        <x:v>Mag Tkanki Życia</x:v>
      </x:c>
      <x:c r="F9" t="n">
        <x:f>'Katalog kart'!E11</x:f>
        <x:v>2</x:v>
      </x:c>
      <x:c r="G9" t="n">
        <x:f>'Katalog kart'!F11</x:f>
        <x:v>7</x:v>
      </x:c>
      <x:c r="H9" s="86" t="n">
        <x:f>IF(Q9="Ofensywny",'Balans — metoda'!$B$11,IF(Q9="Defensywny",0,'Balans — metoda'!$B$11/2))</x:f>
        <x:v>0</x:v>
      </x:c>
      <x:c r="I9" s="86" t="n">
        <x:f>'Balans — metoda'!$B$11-H9</x:f>
        <x:v>2</x:v>
      </x:c>
      <x:c r="J9" s="81" t="n">
        <x:f>F9+H9*'Balans — metoda'!$B$10+U9</x:f>
        <x:v>2</x:v>
      </x:c>
      <x:c r="K9" s="81" t="n">
        <x:f>G9+I9*'Balans — metoda'!$B$10+V9</x:f>
        <x:v>13</x:v>
      </x:c>
      <x:c r="L9" s="104" t="n">
        <x:f>IFERROR(VLOOKUP(C9,'Balans — metoda'!$F$6:$G$10,2,FALSE),0)</x:f>
        <x:v>1</x:v>
      </x:c>
      <x:c r="M9" s="86"/>
      <x:c r="N9" s="104" t="str">
        <x:f>IF(ISNUMBER(M9),M9*L9,"")</x:f>
      </x:c>
      <x:c r="O9" s="86" t="str">
        <x:v>Do oceny</x:v>
      </x:c>
      <x:c r="P9" s="86"/>
      <x:c r="Q9" s="146" t="str">
        <x:v>Defensywny</x:v>
      </x:c>
      <x:c r="R9" t="n">
        <x:f>INT('Balans — metoda'!$B$10/'Balans — metoda'!$B$12)</x:f>
        <x:v>1</x:v>
      </x:c>
      <x:c r="S9" t="str">
        <x:f>IF(OR(D9="Szybki atak",D9="Podwójny atak",D9="Tarcza",D9="Prowokacja"),"Patrz J/K",IF(ISNUMBER(M9),M9+R9,"Do opisania"))</x:f>
        <x:v>Do opisania</x:v>
      </x:c>
      <x:c r="T9" t="str">
        <x:v>Efekt liczbowy — proponuj +1 mocy na poziom</x:v>
      </x:c>
      <x:c r="U9" s="160" t="n">
        <x:f>IFERROR(R9*VLOOKUP(D9,'Premie cech'!$A$6:$C$9,2,FALSE),0)</x:f>
        <x:v>0</x:v>
      </x:c>
      <x:c r="V9" s="160" t="n">
        <x:f>IFERROR(R9*VLOOKUP(D9,'Premie cech'!$A$6:$C$9,3,FALSE),0)</x:f>
        <x:v>0</x:v>
      </x:c>
      <x:c r="W9" s="91"/>
    </x:row>
    <x:row r="10" ht="23" customHeight="1">
      <x:c r="A10" t="str">
        <x:f>'Katalog kart'!A12</x:f>
        <x:v>S03</x:v>
      </x:c>
      <x:c r="B10" t="str">
        <x:f>'Katalog kart'!M12</x:f>
        <x:v>Elfy</x:v>
      </x:c>
      <x:c r="C10" t="str">
        <x:f>'Katalog kart'!B12</x:f>
        <x:v>Przy wystawieniu</x:v>
      </x:c>
      <x:c r="D10" t="str">
        <x:f>'Katalog kart'!C12</x:f>
        <x:v>Pancerz</x:v>
      </x:c>
      <x:c r="E10" t="str">
        <x:f>'Katalog kart'!D12</x:f>
        <x:v>Zaklinacz Runicznej Zbroi</x:v>
      </x:c>
      <x:c r="F10" t="n">
        <x:f>'Katalog kart'!E12</x:f>
        <x:v>2</x:v>
      </x:c>
      <x:c r="G10" t="n">
        <x:f>'Katalog kart'!F12</x:f>
        <x:v>7</x:v>
      </x:c>
      <x:c r="H10" s="86" t="n">
        <x:f>IF(Q10="Ofensywny",'Balans — metoda'!$B$11,IF(Q10="Defensywny",0,'Balans — metoda'!$B$11/2))</x:f>
        <x:v>0</x:v>
      </x:c>
      <x:c r="I10" s="86" t="n">
        <x:f>'Balans — metoda'!$B$11-H10</x:f>
        <x:v>2</x:v>
      </x:c>
      <x:c r="J10" s="81" t="n">
        <x:f>F10+H10*'Balans — metoda'!$B$10+U10</x:f>
        <x:v>2</x:v>
      </x:c>
      <x:c r="K10" s="81" t="n">
        <x:f>G10+I10*'Balans — metoda'!$B$10+V10</x:f>
        <x:v>13</x:v>
      </x:c>
      <x:c r="L10" s="104" t="n">
        <x:f>IFERROR(VLOOKUP(C10,'Balans — metoda'!$F$6:$G$10,2,FALSE),0)</x:f>
        <x:v>1</x:v>
      </x:c>
      <x:c r="M10" s="86"/>
      <x:c r="N10" s="104" t="str">
        <x:f>IF(ISNUMBER(M10),M10*L10,"")</x:f>
      </x:c>
      <x:c r="O10" s="86" t="str">
        <x:v>Do oceny</x:v>
      </x:c>
      <x:c r="P10" s="86"/>
      <x:c r="Q10" s="146" t="str">
        <x:v>Defensywny</x:v>
      </x:c>
      <x:c r="R10" t="n">
        <x:f>INT('Balans — metoda'!$B$10/'Balans — metoda'!$B$12)</x:f>
        <x:v>1</x:v>
      </x:c>
      <x:c r="S10" t="str">
        <x:f>IF(OR(D10="Szybki atak",D10="Podwójny atak",D10="Tarcza",D10="Prowokacja"),"Patrz J/K",IF(ISNUMBER(M10),M10+R10,"Do opisania"))</x:f>
        <x:v>Do opisania</x:v>
      </x:c>
      <x:c r="T10" t="str">
        <x:v>Efekt liczbowy — proponuj +1 mocy na poziom</x:v>
      </x:c>
      <x:c r="U10" s="160" t="n">
        <x:f>IFERROR(R10*VLOOKUP(D10,'Premie cech'!$A$6:$C$9,2,FALSE),0)</x:f>
        <x:v>0</x:v>
      </x:c>
      <x:c r="V10" s="160" t="n">
        <x:f>IFERROR(R10*VLOOKUP(D10,'Premie cech'!$A$6:$C$9,3,FALSE),0)</x:f>
        <x:v>0</x:v>
      </x:c>
      <x:c r="W10" s="91"/>
    </x:row>
    <x:row r="11" ht="23" customHeight="1">
      <x:c r="A11" t="str">
        <x:f>'Katalog kart'!A13</x:f>
        <x:v>S05</x:v>
      </x:c>
      <x:c r="B11" t="str">
        <x:f>'Katalog kart'!M13</x:f>
        <x:v>Elfy</x:v>
      </x:c>
      <x:c r="C11" t="str">
        <x:f>'Katalog kart'!B13</x:f>
        <x:v>Przy wystawieniu</x:v>
      </x:c>
      <x:c r="D11" t="str">
        <x:f>'Katalog kart'!C13</x:f>
        <x:v>Tarcza</x:v>
      </x:c>
      <x:c r="E11" t="str">
        <x:f>'Katalog kart'!D13</x:f>
        <x:v>Strażniczka Księżycowej Pieczęci</x:v>
      </x:c>
      <x:c r="F11" t="n">
        <x:f>'Katalog kart'!E13</x:f>
        <x:v>3</x:v>
      </x:c>
      <x:c r="G11" t="n">
        <x:f>'Katalog kart'!F13</x:f>
        <x:v>6</x:v>
      </x:c>
      <x:c r="H11" s="86" t="n">
        <x:f>IF(Q11="Ofensywny",'Balans — metoda'!$B$11,IF(Q11="Defensywny",0,'Balans — metoda'!$B$11/2))</x:f>
        <x:v>0</x:v>
      </x:c>
      <x:c r="I11" s="86" t="n">
        <x:f>'Balans — metoda'!$B$11-H11</x:f>
        <x:v>2</x:v>
      </x:c>
      <x:c r="J11" s="81" t="n">
        <x:f>F11+H11*'Balans — metoda'!$B$10+U11</x:f>
        <x:v>3</x:v>
      </x:c>
      <x:c r="K11" s="81" t="n">
        <x:f>G11+I11*'Balans — metoda'!$B$10+V11</x:f>
        <x:v>15</x:v>
      </x:c>
      <x:c r="L11" s="104" t="n">
        <x:f>IFERROR(VLOOKUP(C11,'Balans — metoda'!$F$6:$G$10,2,FALSE),0)</x:f>
        <x:v>1</x:v>
      </x:c>
      <x:c r="M11" s="86"/>
      <x:c r="N11" s="104" t="str">
        <x:f>IF(ISNUMBER(M11),M11*L11,"")</x:f>
      </x:c>
      <x:c r="O11" s="86" t="str">
        <x:v>Do oceny</x:v>
      </x:c>
      <x:c r="P11" s="86"/>
      <x:c r="Q11" s="146" t="str">
        <x:v>Defensywny</x:v>
      </x:c>
      <x:c r="R11" t="n">
        <x:f>INT('Balans — metoda'!$B$10/'Balans — metoda'!$B$12)</x:f>
        <x:v>1</x:v>
      </x:c>
      <x:c r="S11" t="str">
        <x:f>IF(OR(D11="Szybki atak",D11="Podwójny atak",D11="Tarcza",D11="Prowokacja"),"Patrz J/K",IF(ISNUMBER(M11),M11+R11,"Do opisania"))</x:f>
        <x:v>Patrz J/K</x:v>
      </x:c>
      <x:c r="T11" t="str">
        <x:v>Bonus statystyk cechy — uwzględniony w J/K</x:v>
      </x:c>
      <x:c r="U11" s="160" t="n">
        <x:f>IFERROR(R11*VLOOKUP(D11,'Premie cech'!$A$6:$C$9,2,FALSE),0)</x:f>
        <x:v>0</x:v>
      </x:c>
      <x:c r="V11" s="160" t="n">
        <x:f>IFERROR(R11*VLOOKUP(D11,'Premie cech'!$A$6:$C$9,3,FALSE),0)</x:f>
        <x:v>3</x:v>
      </x:c>
      <x:c r="W11" s="91" t="str">
        <x:v>Co 3 własne tury na ręce: dodatkowo +3 MAX HP.</x:v>
      </x:c>
    </x:row>
    <x:row r="12" ht="23" customHeight="1">
      <x:c r="A12" t="str">
        <x:f>'Katalog kart'!A14</x:f>
        <x:v>S58</x:v>
      </x:c>
      <x:c r="B12" t="str">
        <x:f>'Katalog kart'!M14</x:f>
        <x:v>Elfy</x:v>
      </x:c>
      <x:c r="C12" t="str">
        <x:f>'Katalog kart'!B14</x:f>
        <x:v>Przy wystawieniu</x:v>
      </x:c>
      <x:c r="D12" t="str">
        <x:f>'Katalog kart'!C14</x:f>
        <x:v>Trucizna</x:v>
      </x:c>
      <x:c r="E12" t="str">
        <x:f>'Katalog kart'!D14</x:f>
        <x:v>Alchemik Jadowych Korzeni</x:v>
      </x:c>
      <x:c r="F12" t="n">
        <x:f>'Katalog kart'!E14</x:f>
        <x:v>1</x:v>
      </x:c>
      <x:c r="G12" t="n">
        <x:f>'Katalog kart'!F14</x:f>
        <x:v>5</x:v>
      </x:c>
      <x:c r="H12" s="86" t="n">
        <x:f>IF(Q12="Ofensywny",'Balans — metoda'!$B$11,IF(Q12="Defensywny",0,'Balans — metoda'!$B$11/2))</x:f>
        <x:v>2</x:v>
      </x:c>
      <x:c r="I12" s="86" t="n">
        <x:f>'Balans — metoda'!$B$11-H12</x:f>
        <x:v>0</x:v>
      </x:c>
      <x:c r="J12" s="81" t="n">
        <x:f>F12+H12*'Balans — metoda'!$B$10+U12</x:f>
        <x:v>7</x:v>
      </x:c>
      <x:c r="K12" s="81" t="n">
        <x:f>G12+I12*'Balans — metoda'!$B$10+V12</x:f>
        <x:v>5</x:v>
      </x:c>
      <x:c r="L12" s="104" t="n">
        <x:f>IFERROR(VLOOKUP(C12,'Balans — metoda'!$F$6:$G$10,2,FALSE),0)</x:f>
        <x:v>1</x:v>
      </x:c>
      <x:c r="M12" s="86"/>
      <x:c r="N12" s="104" t="str">
        <x:f>IF(ISNUMBER(M12),M12*L12,"")</x:f>
      </x:c>
      <x:c r="O12" s="86" t="str">
        <x:v>Do oceny</x:v>
      </x:c>
      <x:c r="P12" s="86"/>
      <x:c r="Q12" s="146" t="str">
        <x:v>Ofensywny</x:v>
      </x:c>
      <x:c r="R12" t="n">
        <x:f>INT('Balans — metoda'!$B$10/'Balans — metoda'!$B$12)</x:f>
        <x:v>1</x:v>
      </x:c>
      <x:c r="S12" t="str">
        <x:f>IF(OR(D12="Szybki atak",D12="Podwójny atak",D12="Tarcza",D12="Prowokacja"),"Patrz J/K",IF(ISNUMBER(M12),M12+R12,"Do opisania"))</x:f>
        <x:v>Do opisania</x:v>
      </x:c>
      <x:c r="T12" t="str">
        <x:v>Efekt liczbowy — proponuj +1 mocy na poziom</x:v>
      </x:c>
      <x:c r="U12" s="160" t="n">
        <x:f>IFERROR(R12*VLOOKUP(D12,'Premie cech'!$A$6:$C$9,2,FALSE),0)</x:f>
        <x:v>0</x:v>
      </x:c>
      <x:c r="V12" s="160" t="n">
        <x:f>IFERROR(R12*VLOOKUP(D12,'Premie cech'!$A$6:$C$9,3,FALSE),0)</x:f>
        <x:v>0</x:v>
      </x:c>
      <x:c r="W12" s="91"/>
    </x:row>
    <x:row r="13" ht="23" customHeight="1">
      <x:c r="A13" t="str">
        <x:f>'Katalog kart'!A15</x:f>
        <x:v>S59</x:v>
      </x:c>
      <x:c r="B13" t="str">
        <x:f>'Katalog kart'!M15</x:f>
        <x:v>Elfy</x:v>
      </x:c>
      <x:c r="C13" t="str">
        <x:f>'Katalog kart'!B15</x:f>
        <x:v>Przy wystawieniu</x:v>
      </x:c>
      <x:c r="D13" t="str">
        <x:f>'Katalog kart'!C15</x:f>
        <x:v>Ogłuszenie</x:v>
      </x:c>
      <x:c r="E13" t="str">
        <x:f>'Katalog kart'!D15</x:f>
        <x:v>Tkaczka Uśpienia</x:v>
      </x:c>
      <x:c r="F13" t="n">
        <x:f>'Katalog kart'!E15</x:f>
        <x:v>1</x:v>
      </x:c>
      <x:c r="G13" t="n">
        <x:f>'Katalog kart'!F15</x:f>
        <x:v>6</x:v>
      </x:c>
      <x:c r="H13" s="86" t="n">
        <x:f>IF(Q13="Ofensywny",'Balans — metoda'!$B$11,IF(Q13="Defensywny",0,'Balans — metoda'!$B$11/2))</x:f>
        <x:v>1</x:v>
      </x:c>
      <x:c r="I13" s="86" t="n">
        <x:f>'Balans — metoda'!$B$11-H13</x:f>
        <x:v>1</x:v>
      </x:c>
      <x:c r="J13" s="81" t="n">
        <x:f>F13+H13*'Balans — metoda'!$B$10+U13</x:f>
        <x:v>4</x:v>
      </x:c>
      <x:c r="K13" s="81" t="n">
        <x:f>G13+I13*'Balans — metoda'!$B$10+V13</x:f>
        <x:v>9</x:v>
      </x:c>
      <x:c r="L13" s="104" t="n">
        <x:f>IFERROR(VLOOKUP(C13,'Balans — metoda'!$F$6:$G$10,2,FALSE),0)</x:f>
        <x:v>1</x:v>
      </x:c>
      <x:c r="M13" s="86"/>
      <x:c r="N13" s="104" t="str">
        <x:f>IF(ISNUMBER(M13),M13*L13,"")</x:f>
      </x:c>
      <x:c r="O13" s="86" t="str">
        <x:v>Do oceny</x:v>
      </x:c>
      <x:c r="P13" s="86"/>
      <x:c r="Q13" s="146" t="str">
        <x:v>Zrównoważony</x:v>
      </x:c>
      <x:c r="R13" t="n">
        <x:f>INT('Balans — metoda'!$B$10/'Balans — metoda'!$B$12)</x:f>
        <x:v>1</x:v>
      </x:c>
      <x:c r="S13" t="str">
        <x:f>IF(OR(D13="Szybki atak",D13="Podwójny atak",D13="Tarcza",D13="Prowokacja"),"Patrz J/K",IF(ISNUMBER(M13),M13+R13,"Do opisania"))</x:f>
        <x:v>Do opisania</x:v>
      </x:c>
      <x:c r="T13" t="str">
        <x:v>Efekt jakościowy — określ ulepszenie co 3 tury</x:v>
      </x:c>
      <x:c r="U13" s="160" t="n">
        <x:f>IFERROR(R13*VLOOKUP(D13,'Premie cech'!$A$6:$C$9,2,FALSE),0)</x:f>
        <x:v>0</x:v>
      </x:c>
      <x:c r="V13" s="160" t="n">
        <x:f>IFERROR(R13*VLOOKUP(D13,'Premie cech'!$A$6:$C$9,3,FALSE),0)</x:f>
        <x:v>0</x:v>
      </x:c>
      <x:c r="W13" s="91"/>
    </x:row>
    <x:row r="14" ht="23" customHeight="1">
      <x:c r="A14" t="str">
        <x:f>'Katalog kart'!A16</x:f>
        <x:v>S60</x:v>
      </x:c>
      <x:c r="B14" t="str">
        <x:f>'Katalog kart'!M16</x:f>
        <x:v>Elfy</x:v>
      </x:c>
      <x:c r="C14" t="str">
        <x:f>'Katalog kart'!B16</x:f>
        <x:v>Przy wystawieniu</x:v>
      </x:c>
      <x:c r="D14" t="str">
        <x:f>'Katalog kart'!C16</x:f>
        <x:v>Regeneracja</x:v>
      </x:c>
      <x:c r="E14" t="str">
        <x:f>'Katalog kart'!D16</x:f>
        <x:v>Druid Odnowy</x:v>
      </x:c>
      <x:c r="F14" t="n">
        <x:f>'Katalog kart'!E16</x:f>
        <x:v>3</x:v>
      </x:c>
      <x:c r="G14" t="n">
        <x:f>'Katalog kart'!F16</x:f>
        <x:v>6</x:v>
      </x:c>
      <x:c r="H14" s="86" t="n">
        <x:f>IF(Q14="Ofensywny",'Balans — metoda'!$B$11,IF(Q14="Defensywny",0,'Balans — metoda'!$B$11/2))</x:f>
        <x:v>0</x:v>
      </x:c>
      <x:c r="I14" s="86" t="n">
        <x:f>'Balans — metoda'!$B$11-H14</x:f>
        <x:v>2</x:v>
      </x:c>
      <x:c r="J14" s="81" t="n">
        <x:f>F14+H14*'Balans — metoda'!$B$10+U14</x:f>
        <x:v>3</x:v>
      </x:c>
      <x:c r="K14" s="81" t="n">
        <x:f>G14+I14*'Balans — metoda'!$B$10+V14</x:f>
        <x:v>12</x:v>
      </x:c>
      <x:c r="L14" s="104" t="n">
        <x:f>IFERROR(VLOOKUP(C14,'Balans — metoda'!$F$6:$G$10,2,FALSE),0)</x:f>
        <x:v>1</x:v>
      </x:c>
      <x:c r="M14" s="86"/>
      <x:c r="N14" s="104" t="str">
        <x:f>IF(ISNUMBER(M14),M14*L14,"")</x:f>
      </x:c>
      <x:c r="O14" s="86" t="str">
        <x:v>Do oceny</x:v>
      </x:c>
      <x:c r="P14" s="86"/>
      <x:c r="Q14" s="146" t="str">
        <x:v>Defensywny</x:v>
      </x:c>
      <x:c r="R14" t="n">
        <x:f>INT('Balans — metoda'!$B$10/'Balans — metoda'!$B$12)</x:f>
        <x:v>1</x:v>
      </x:c>
      <x:c r="S14" t="str">
        <x:f>IF(OR(D14="Szybki atak",D14="Podwójny atak",D14="Tarcza",D14="Prowokacja"),"Patrz J/K",IF(ISNUMBER(M14),M14+R14,"Do opisania"))</x:f>
        <x:v>Do opisania</x:v>
      </x:c>
      <x:c r="T14" t="str">
        <x:v>Efekt liczbowy — proponuj +1 mocy na poziom</x:v>
      </x:c>
      <x:c r="U14" s="160" t="n">
        <x:f>IFERROR(R14*VLOOKUP(D14,'Premie cech'!$A$6:$C$9,2,FALSE),0)</x:f>
        <x:v>0</x:v>
      </x:c>
      <x:c r="V14" s="160" t="n">
        <x:f>IFERROR(R14*VLOOKUP(D14,'Premie cech'!$A$6:$C$9,3,FALSE),0)</x:f>
        <x:v>0</x:v>
      </x:c>
      <x:c r="W14" s="91"/>
    </x:row>
    <x:row r="15" ht="23" customHeight="1">
      <x:c r="A15" t="str">
        <x:f>'Katalog kart'!A17</x:f>
        <x:v>S61</x:v>
      </x:c>
      <x:c r="B15" t="str">
        <x:f>'Katalog kart'!M17</x:f>
        <x:v>Elfy</x:v>
      </x:c>
      <x:c r="C15" t="str">
        <x:f>'Katalog kart'!B17</x:f>
        <x:v>Przy wystawieniu</x:v>
      </x:c>
      <x:c r="D15" t="str">
        <x:f>'Katalog kart'!C17</x:f>
        <x:v>Prowokacja</x:v>
      </x:c>
      <x:c r="E15" t="str">
        <x:f>'Katalog kart'!D17</x:f>
        <x:v>Władczyni Leśnych Więzów</x:v>
      </x:c>
      <x:c r="F15" t="n">
        <x:f>'Katalog kart'!E17</x:f>
        <x:v>3</x:v>
      </x:c>
      <x:c r="G15" t="n">
        <x:f>'Katalog kart'!F17</x:f>
        <x:v>7</x:v>
      </x:c>
      <x:c r="H15" s="86" t="n">
        <x:f>IF(Q15="Ofensywny",'Balans — metoda'!$B$11,IF(Q15="Defensywny",0,'Balans — metoda'!$B$11/2))</x:f>
        <x:v>0</x:v>
      </x:c>
      <x:c r="I15" s="86" t="n">
        <x:f>'Balans — metoda'!$B$11-H15</x:f>
        <x:v>2</x:v>
      </x:c>
      <x:c r="J15" s="81" t="n">
        <x:f>F15+H15*'Balans — metoda'!$B$10+U15</x:f>
        <x:v>3</x:v>
      </x:c>
      <x:c r="K15" s="81" t="n">
        <x:f>G15+I15*'Balans — metoda'!$B$10+V15</x:f>
        <x:v>16</x:v>
      </x:c>
      <x:c r="L15" s="104" t="n">
        <x:f>IFERROR(VLOOKUP(C15,'Balans — metoda'!$F$6:$G$10,2,FALSE),0)</x:f>
        <x:v>1</x:v>
      </x:c>
      <x:c r="M15" s="86"/>
      <x:c r="N15" s="104" t="str">
        <x:f>IF(ISNUMBER(M15),M15*L15,"")</x:f>
      </x:c>
      <x:c r="O15" s="86" t="str">
        <x:v>Do oceny</x:v>
      </x:c>
      <x:c r="P15" s="86"/>
      <x:c r="Q15" s="146" t="str">
        <x:v>Defensywny</x:v>
      </x:c>
      <x:c r="R15" t="n">
        <x:f>INT('Balans — metoda'!$B$10/'Balans — metoda'!$B$12)</x:f>
        <x:v>1</x:v>
      </x:c>
      <x:c r="S15" t="str">
        <x:f>IF(OR(D15="Szybki atak",D15="Podwójny atak",D15="Tarcza",D15="Prowokacja"),"Patrz J/K",IF(ISNUMBER(M15),M15+R15,"Do opisania"))</x:f>
        <x:v>Patrz J/K</x:v>
      </x:c>
      <x:c r="T15" t="str">
        <x:v>Bonus statystyk cechy — uwzględniony w J/K</x:v>
      </x:c>
      <x:c r="U15" s="160" t="n">
        <x:f>IFERROR(R15*VLOOKUP(D15,'Premie cech'!$A$6:$C$9,2,FALSE),0)</x:f>
        <x:v>0</x:v>
      </x:c>
      <x:c r="V15" s="160" t="n">
        <x:f>IFERROR(R15*VLOOKUP(D15,'Premie cech'!$A$6:$C$9,3,FALSE),0)</x:f>
        <x:v>3</x:v>
      </x:c>
      <x:c r="W15" s="91" t="str">
        <x:v>Co 3 własne tury na ręce: dodatkowo +3 MAX HP.</x:v>
      </x:c>
    </x:row>
    <x:row r="16" ht="23" customHeight="1">
      <x:c r="A16" t="str">
        <x:f>'Katalog kart'!A18</x:f>
        <x:v>S07</x:v>
      </x:c>
      <x:c r="B16" t="str">
        <x:f>'Katalog kart'!M18</x:f>
        <x:v>Elfy</x:v>
      </x:c>
      <x:c r="C16" t="str">
        <x:f>'Katalog kart'!B18</x:f>
        <x:v>Przy wystawieniu</x:v>
      </x:c>
      <x:c r="D16" t="str">
        <x:f>'Katalog kart'!C18</x:f>
        <x:v>Oczyszczanie</x:v>
      </x:c>
      <x:c r="E16" t="str">
        <x:f>'Katalog kart'!D18</x:f>
        <x:v>Kapłanka Oczyszczenia</x:v>
      </x:c>
      <x:c r="F16" t="n">
        <x:f>'Katalog kart'!E18</x:f>
        <x:v>2</x:v>
      </x:c>
      <x:c r="G16" t="n">
        <x:f>'Katalog kart'!F18</x:f>
        <x:v>6</x:v>
      </x:c>
      <x:c r="H16" s="86" t="n">
        <x:f>IF(Q16="Ofensywny",'Balans — metoda'!$B$11,IF(Q16="Defensywny",0,'Balans — metoda'!$B$11/2))</x:f>
        <x:v>1</x:v>
      </x:c>
      <x:c r="I16" s="86" t="n">
        <x:f>'Balans — metoda'!$B$11-H16</x:f>
        <x:v>1</x:v>
      </x:c>
      <x:c r="J16" s="81" t="n">
        <x:f>F16+H16*'Balans — metoda'!$B$10+U16</x:f>
        <x:v>5</x:v>
      </x:c>
      <x:c r="K16" s="81" t="n">
        <x:f>G16+I16*'Balans — metoda'!$B$10+V16</x:f>
        <x:v>9</x:v>
      </x:c>
      <x:c r="L16" s="104" t="n">
        <x:f>IFERROR(VLOOKUP(C16,'Balans — metoda'!$F$6:$G$10,2,FALSE),0)</x:f>
        <x:v>1</x:v>
      </x:c>
      <x:c r="M16" s="86"/>
      <x:c r="N16" s="104" t="str">
        <x:f>IF(ISNUMBER(M16),M16*L16,"")</x:f>
      </x:c>
      <x:c r="O16" s="86" t="str">
        <x:v>Do oceny</x:v>
      </x:c>
      <x:c r="P16" s="86"/>
      <x:c r="Q16" s="146" t="str">
        <x:v>Zrównoważony</x:v>
      </x:c>
      <x:c r="R16" t="n">
        <x:f>INT('Balans — metoda'!$B$10/'Balans — metoda'!$B$12)</x:f>
        <x:v>1</x:v>
      </x:c>
      <x:c r="S16" t="str">
        <x:f>IF(OR(D16="Szybki atak",D16="Podwójny atak",D16="Tarcza",D16="Prowokacja"),"Patrz J/K",IF(ISNUMBER(M16),M16+R16,"Do opisania"))</x:f>
        <x:v>Do opisania</x:v>
      </x:c>
      <x:c r="T16" t="str">
        <x:v>Efekt jakościowy — określ ulepszenie co 3 tury</x:v>
      </x:c>
      <x:c r="U16" s="160" t="n">
        <x:f>IFERROR(R16*VLOOKUP(D16,'Premie cech'!$A$6:$C$9,2,FALSE),0)</x:f>
        <x:v>0</x:v>
      </x:c>
      <x:c r="V16" s="160" t="n">
        <x:f>IFERROR(R16*VLOOKUP(D16,'Premie cech'!$A$6:$C$9,3,FALSE),0)</x:f>
        <x:v>0</x:v>
      </x:c>
      <x:c r="W16" s="91"/>
    </x:row>
    <x:row r="17" ht="23" customHeight="1">
      <x:c r="A17" t="str">
        <x:f>'Katalog kart'!A19</x:f>
        <x:v>S64</x:v>
      </x:c>
      <x:c r="B17" t="str">
        <x:f>'Katalog kart'!M19</x:f>
        <x:v>Elfy</x:v>
      </x:c>
      <x:c r="C17" t="str">
        <x:f>'Katalog kart'!B19</x:f>
        <x:v>Przy wystawieniu</x:v>
      </x:c>
      <x:c r="D17" t="str">
        <x:f>'Katalog kart'!C19</x:f>
        <x:v>Odporność</x:v>
      </x:c>
      <x:c r="E17" t="str">
        <x:f>'Katalog kart'!D19</x:f>
        <x:v>Strażnik Zaklęć Ochronnych</x:v>
      </x:c>
      <x:c r="F17" t="n">
        <x:f>'Katalog kart'!E19</x:f>
        <x:v>4</x:v>
      </x:c>
      <x:c r="G17" t="n">
        <x:f>'Katalog kart'!F19</x:f>
        <x:v>6</x:v>
      </x:c>
      <x:c r="H17" s="86" t="n">
        <x:f>IF(Q17="Ofensywny",'Balans — metoda'!$B$11,IF(Q17="Defensywny",0,'Balans — metoda'!$B$11/2))</x:f>
        <x:v>0</x:v>
      </x:c>
      <x:c r="I17" s="86" t="n">
        <x:f>'Balans — metoda'!$B$11-H17</x:f>
        <x:v>2</x:v>
      </x:c>
      <x:c r="J17" s="81" t="n">
        <x:f>F17+H17*'Balans — metoda'!$B$10+U17</x:f>
        <x:v>4</x:v>
      </x:c>
      <x:c r="K17" s="81" t="n">
        <x:f>G17+I17*'Balans — metoda'!$B$10+V17</x:f>
        <x:v>12</x:v>
      </x:c>
      <x:c r="L17" s="104" t="n">
        <x:f>IFERROR(VLOOKUP(C17,'Balans — metoda'!$F$6:$G$10,2,FALSE),0)</x:f>
        <x:v>1</x:v>
      </x:c>
      <x:c r="M17" s="86"/>
      <x:c r="N17" s="104" t="str">
        <x:f>IF(ISNUMBER(M17),M17*L17,"")</x:f>
      </x:c>
      <x:c r="O17" s="86" t="str">
        <x:v>Do oceny</x:v>
      </x:c>
      <x:c r="P17" s="86"/>
      <x:c r="Q17" s="146" t="str">
        <x:v>Defensywny</x:v>
      </x:c>
      <x:c r="R17" t="n">
        <x:f>INT('Balans — metoda'!$B$10/'Balans — metoda'!$B$12)</x:f>
        <x:v>1</x:v>
      </x:c>
      <x:c r="S17" t="str">
        <x:f>IF(OR(D17="Szybki atak",D17="Podwójny atak",D17="Tarcza",D17="Prowokacja"),"Patrz J/K",IF(ISNUMBER(M17),M17+R17,"Do opisania"))</x:f>
        <x:v>Do opisania</x:v>
      </x:c>
      <x:c r="T17" t="str">
        <x:v>Efekt jakościowy — określ ulepszenie co 3 tury</x:v>
      </x:c>
      <x:c r="U17" s="160" t="n">
        <x:f>IFERROR(R17*VLOOKUP(D17,'Premie cech'!$A$6:$C$9,2,FALSE),0)</x:f>
        <x:v>0</x:v>
      </x:c>
      <x:c r="V17" s="160" t="n">
        <x:f>IFERROR(R17*VLOOKUP(D17,'Premie cech'!$A$6:$C$9,3,FALSE),0)</x:f>
        <x:v>0</x:v>
      </x:c>
      <x:c r="W17" s="91"/>
    </x:row>
    <x:row r="18" ht="23" customHeight="1">
      <x:c r="A18" t="str">
        <x:f>'Katalog kart'!A20</x:f>
        <x:v>S66</x:v>
      </x:c>
      <x:c r="B18" t="str">
        <x:f>'Katalog kart'!M20</x:f>
        <x:v>Elfy</x:v>
      </x:c>
      <x:c r="C18" t="str">
        <x:f>'Katalog kart'!B20</x:f>
        <x:v>Przy wystawieniu</x:v>
      </x:c>
      <x:c r="D18" t="str">
        <x:f>'Katalog kart'!C20</x:f>
        <x:v>Szybki atak</x:v>
      </x:c>
      <x:c r="E18" t="str">
        <x:f>'Katalog kart'!D20</x:f>
        <x:v>Mag Migotliwego Kroku</x:v>
      </x:c>
      <x:c r="F18" t="n">
        <x:f>'Katalog kart'!E20</x:f>
        <x:v>2</x:v>
      </x:c>
      <x:c r="G18" t="n">
        <x:f>'Katalog kart'!F20</x:f>
        <x:v>4</x:v>
      </x:c>
      <x:c r="H18" s="86" t="n">
        <x:f>IF(Q18="Ofensywny",'Balans — metoda'!$B$11,IF(Q18="Defensywny",0,'Balans — metoda'!$B$11/2))</x:f>
        <x:v>2</x:v>
      </x:c>
      <x:c r="I18" s="86" t="n">
        <x:f>'Balans — metoda'!$B$11-H18</x:f>
        <x:v>0</x:v>
      </x:c>
      <x:c r="J18" s="81" t="n">
        <x:f>F18+H18*'Balans — metoda'!$B$10+U18</x:f>
        <x:v>10</x:v>
      </x:c>
      <x:c r="K18" s="81" t="n">
        <x:f>G18+I18*'Balans — metoda'!$B$10+V18</x:f>
        <x:v>5</x:v>
      </x:c>
      <x:c r="L18" s="104" t="n">
        <x:f>IFERROR(VLOOKUP(C18,'Balans — metoda'!$F$6:$G$10,2,FALSE),0)</x:f>
        <x:v>1</x:v>
      </x:c>
      <x:c r="M18" s="86"/>
      <x:c r="N18" s="104" t="str">
        <x:f>IF(ISNUMBER(M18),M18*L18,"")</x:f>
      </x:c>
      <x:c r="O18" s="86" t="str">
        <x:v>Do oceny</x:v>
      </x:c>
      <x:c r="P18" s="86"/>
      <x:c r="Q18" s="146" t="str">
        <x:v>Ofensywny</x:v>
      </x:c>
      <x:c r="R18" t="n">
        <x:f>INT('Balans — metoda'!$B$10/'Balans — metoda'!$B$12)</x:f>
        <x:v>1</x:v>
      </x:c>
      <x:c r="S18" t="str">
        <x:f>IF(OR(D18="Szybki atak",D18="Podwójny atak",D18="Tarcza",D18="Prowokacja"),"Patrz J/K",IF(ISNUMBER(M18),M18+R18,"Do opisania"))</x:f>
        <x:v>Patrz J/K</x:v>
      </x:c>
      <x:c r="T18" t="str">
        <x:v>Bonus statystyk cechy — uwzględniony w J/K</x:v>
      </x:c>
      <x:c r="U18" s="160" t="n">
        <x:f>IFERROR(R18*VLOOKUP(D18,'Premie cech'!$A$6:$C$9,2,FALSE),0)</x:f>
        <x:v>2</x:v>
      </x:c>
      <x:c r="V18" s="160" t="n">
        <x:f>IFERROR(R18*VLOOKUP(D18,'Premie cech'!$A$6:$C$9,3,FALSE),0)</x:f>
        <x:v>1</x:v>
      </x:c>
      <x:c r="W18" s="91" t="str">
        <x:v>Co 3 własne tury na ręce: dodatkowo +2 ATK oraz +1 MAX HP.</x:v>
      </x:c>
    </x:row>
    <x:row r="19" ht="23" customHeight="1">
      <x:c r="A19" t="str">
        <x:f>'Katalog kart'!A21</x:f>
        <x:v>S67</x:v>
      </x:c>
      <x:c r="B19" t="str">
        <x:f>'Katalog kart'!M21</x:f>
        <x:v>Elfy</x:v>
      </x:c>
      <x:c r="C19" t="str">
        <x:f>'Katalog kart'!B21</x:f>
        <x:v>Przy wystawieniu</x:v>
      </x:c>
      <x:c r="D19" t="str">
        <x:f>'Katalog kart'!C21</x:f>
        <x:v>Podwójny atak</x:v>
      </x:c>
      <x:c r="E19" t="str">
        <x:f>'Katalog kart'!D21</x:f>
        <x:v>Zaklinacz Podwójnego Uderzenia</x:v>
      </x:c>
      <x:c r="F19" t="n">
        <x:f>'Katalog kart'!E21</x:f>
        <x:v>1</x:v>
      </x:c>
      <x:c r="G19" t="n">
        <x:f>'Katalog kart'!F21</x:f>
        <x:v>5</x:v>
      </x:c>
      <x:c r="H19" s="86" t="n">
        <x:f>IF(Q19="Ofensywny",'Balans — metoda'!$B$11,IF(Q19="Defensywny",0,'Balans — metoda'!$B$11/2))</x:f>
        <x:v>2</x:v>
      </x:c>
      <x:c r="I19" s="86" t="n">
        <x:f>'Balans — metoda'!$B$11-H19</x:f>
        <x:v>0</x:v>
      </x:c>
      <x:c r="J19" s="81" t="n">
        <x:f>F19+H19*'Balans — metoda'!$B$10+U19</x:f>
        <x:v>9</x:v>
      </x:c>
      <x:c r="K19" s="81" t="n">
        <x:f>G19+I19*'Balans — metoda'!$B$10+V19</x:f>
        <x:v>5</x:v>
      </x:c>
      <x:c r="L19" s="104" t="n">
        <x:f>IFERROR(VLOOKUP(C19,'Balans — metoda'!$F$6:$G$10,2,FALSE),0)</x:f>
        <x:v>1</x:v>
      </x:c>
      <x:c r="M19" s="86"/>
      <x:c r="N19" s="104" t="str">
        <x:f>IF(ISNUMBER(M19),M19*L19,"")</x:f>
      </x:c>
      <x:c r="O19" s="86" t="str">
        <x:v>Do oceny</x:v>
      </x:c>
      <x:c r="P19" s="86"/>
      <x:c r="Q19" s="146" t="str">
        <x:v>Ofensywny</x:v>
      </x:c>
      <x:c r="R19" t="n">
        <x:f>INT('Balans — metoda'!$B$10/'Balans — metoda'!$B$12)</x:f>
        <x:v>1</x:v>
      </x:c>
      <x:c r="S19" t="str">
        <x:f>IF(OR(D19="Szybki atak",D19="Podwójny atak",D19="Tarcza",D19="Prowokacja"),"Patrz J/K",IF(ISNUMBER(M19),M19+R19,"Do opisania"))</x:f>
        <x:v>Patrz J/K</x:v>
      </x:c>
      <x:c r="T19" t="str">
        <x:v>Bonus statystyk cechy — uwzględniony w J/K</x:v>
      </x:c>
      <x:c r="U19" s="160" t="n">
        <x:f>IFERROR(R19*VLOOKUP(D19,'Premie cech'!$A$6:$C$9,2,FALSE),0)</x:f>
        <x:v>2</x:v>
      </x:c>
      <x:c r="V19" s="160" t="n">
        <x:f>IFERROR(R19*VLOOKUP(D19,'Premie cech'!$A$6:$C$9,3,FALSE),0)</x:f>
        <x:v>0</x:v>
      </x:c>
      <x:c r="W19" s="91" t="str">
        <x:v>Co 3 własne tury na ręce: dodatkowo +2 ATK.</x:v>
      </x:c>
    </x:row>
    <x:row r="20" ht="23" customHeight="1">
      <x:c r="A20" t="str">
        <x:f>'Katalog kart'!A22</x:f>
        <x:v>S09</x:v>
      </x:c>
      <x:c r="B20" t="str">
        <x:f>'Katalog kart'!M22</x:f>
        <x:v>Dzikie bestie</x:v>
      </x:c>
      <x:c r="C20" t="str">
        <x:f>'Katalog kart'!B22</x:f>
        <x:v>Przy ataku</x:v>
      </x:c>
      <x:c r="D20" t="str">
        <x:f>'Katalog kart'!C22</x:f>
        <x:v>Obrażenia</x:v>
      </x:c>
      <x:c r="E20" t="str">
        <x:f>'Katalog kart'!D22</x:f>
        <x:v>Wilk Szponiasty</x:v>
      </x:c>
      <x:c r="F20" t="n">
        <x:f>'Katalog kart'!E22</x:f>
        <x:v>2</x:v>
      </x:c>
      <x:c r="G20" t="n">
        <x:f>'Katalog kart'!F22</x:f>
        <x:v>5</x:v>
      </x:c>
      <x:c r="H20" s="86" t="n">
        <x:f>IF(Q20="Ofensywny",'Balans — metoda'!$B$11,IF(Q20="Defensywny",0,'Balans — metoda'!$B$11/2))</x:f>
        <x:v>2</x:v>
      </x:c>
      <x:c r="I20" s="86" t="n">
        <x:f>'Balans — metoda'!$B$11-H20</x:f>
        <x:v>0</x:v>
      </x:c>
      <x:c r="J20" s="81" t="n">
        <x:f>F20+H20*'Balans — metoda'!$B$10+U20</x:f>
        <x:v>8</x:v>
      </x:c>
      <x:c r="K20" s="81" t="n">
        <x:f>G20+I20*'Balans — metoda'!$B$10+V20</x:f>
        <x:v>5</x:v>
      </x:c>
      <x:c r="L20" s="104" t="n">
        <x:f>IFERROR(VLOOKUP(C20,'Balans — metoda'!$F$6:$G$10,2,FALSE),0)</x:f>
        <x:v>1.2000000000000002</x:v>
      </x:c>
      <x:c r="M20" s="86"/>
      <x:c r="N20" s="104" t="str">
        <x:f>IF(ISNUMBER(M20),M20*L20,"")</x:f>
      </x:c>
      <x:c r="O20" s="86" t="str">
        <x:v>Do oceny</x:v>
      </x:c>
      <x:c r="P20" s="86"/>
      <x:c r="Q20" s="146" t="str">
        <x:v>Ofensywny</x:v>
      </x:c>
      <x:c r="R20" t="n">
        <x:f>INT('Balans — metoda'!$B$10/'Balans — metoda'!$B$12)</x:f>
        <x:v>1</x:v>
      </x:c>
      <x:c r="S20" t="str">
        <x:f>IF(OR(D20="Szybki atak",D20="Podwójny atak",D20="Tarcza",D20="Prowokacja"),"Patrz J/K",IF(ISNUMBER(M20),M20+R20,"Do opisania"))</x:f>
        <x:v>Do opisania</x:v>
      </x:c>
      <x:c r="T20" t="str">
        <x:v>Efekt liczbowy — proponuj +1 mocy na poziom</x:v>
      </x:c>
      <x:c r="U20" s="160" t="n">
        <x:f>IFERROR(R20*VLOOKUP(D20,'Premie cech'!$A$6:$C$9,2,FALSE),0)</x:f>
        <x:v>0</x:v>
      </x:c>
      <x:c r="V20" s="160" t="n">
        <x:f>IFERROR(R20*VLOOKUP(D20,'Premie cech'!$A$6:$C$9,3,FALSE),0)</x:f>
        <x:v>0</x:v>
      </x:c>
      <x:c r="W20" s="91"/>
    </x:row>
    <x:row r="21" ht="23" customHeight="1">
      <x:c r="A21" t="str">
        <x:f>'Katalog kart'!A23</x:f>
        <x:v>S10</x:v>
      </x:c>
      <x:c r="B21" t="str">
        <x:f>'Katalog kart'!M23</x:f>
        <x:v>Dzikie bestie</x:v>
      </x:c>
      <x:c r="C21" t="str">
        <x:f>'Katalog kart'!B23</x:f>
        <x:v>Przy ataku</x:v>
      </x:c>
      <x:c r="D21" t="str">
        <x:f>'Katalog kart'!C23</x:f>
        <x:v>Leczenie</x:v>
      </x:c>
      <x:c r="E21" t="str">
        <x:f>'Katalog kart'!D23</x:f>
        <x:v>Nietoperz Krwiożerca</x:v>
      </x:c>
      <x:c r="F21" t="n">
        <x:f>'Katalog kart'!E23</x:f>
        <x:v>2</x:v>
      </x:c>
      <x:c r="G21" t="n">
        <x:f>'Katalog kart'!F23</x:f>
        <x:v>6</x:v>
      </x:c>
      <x:c r="H21" s="86" t="n">
        <x:f>IF(Q21="Ofensywny",'Balans — metoda'!$B$11,IF(Q21="Defensywny",0,'Balans — metoda'!$B$11/2))</x:f>
        <x:v>0</x:v>
      </x:c>
      <x:c r="I21" s="86" t="n">
        <x:f>'Balans — metoda'!$B$11-H21</x:f>
        <x:v>2</x:v>
      </x:c>
      <x:c r="J21" s="81" t="n">
        <x:f>F21+H21*'Balans — metoda'!$B$10+U21</x:f>
        <x:v>2</x:v>
      </x:c>
      <x:c r="K21" s="81" t="n">
        <x:f>G21+I21*'Balans — metoda'!$B$10+V21</x:f>
        <x:v>12</x:v>
      </x:c>
      <x:c r="L21" s="104" t="n">
        <x:f>IFERROR(VLOOKUP(C21,'Balans — metoda'!$F$6:$G$10,2,FALSE),0)</x:f>
        <x:v>1.2000000000000002</x:v>
      </x:c>
      <x:c r="M21" s="86"/>
      <x:c r="N21" s="104" t="str">
        <x:f>IF(ISNUMBER(M21),M21*L21,"")</x:f>
      </x:c>
      <x:c r="O21" s="86" t="str">
        <x:v>Do oceny</x:v>
      </x:c>
      <x:c r="P21" s="86"/>
      <x:c r="Q21" s="146" t="str">
        <x:v>Defensywny</x:v>
      </x:c>
      <x:c r="R21" t="n">
        <x:f>INT('Balans — metoda'!$B$10/'Balans — metoda'!$B$12)</x:f>
        <x:v>1</x:v>
      </x:c>
      <x:c r="S21" t="str">
        <x:f>IF(OR(D21="Szybki atak",D21="Podwójny atak",D21="Tarcza",D21="Prowokacja"),"Patrz J/K",IF(ISNUMBER(M21),M21+R21,"Do opisania"))</x:f>
        <x:v>Do opisania</x:v>
      </x:c>
      <x:c r="T21" t="str">
        <x:v>Efekt liczbowy — proponuj +1 mocy na poziom</x:v>
      </x:c>
      <x:c r="U21" s="160" t="n">
        <x:f>IFERROR(R21*VLOOKUP(D21,'Premie cech'!$A$6:$C$9,2,FALSE),0)</x:f>
        <x:v>0</x:v>
      </x:c>
      <x:c r="V21" s="160" t="n">
        <x:f>IFERROR(R21*VLOOKUP(D21,'Premie cech'!$A$6:$C$9,3,FALSE),0)</x:f>
        <x:v>0</x:v>
      </x:c>
      <x:c r="W21" s="91"/>
    </x:row>
    <x:row r="22" ht="23" customHeight="1">
      <x:c r="A22" t="str">
        <x:f>'Katalog kart'!A24</x:f>
        <x:v>S68</x:v>
      </x:c>
      <x:c r="B22" t="str">
        <x:f>'Katalog kart'!M24</x:f>
        <x:v>Dzikie bestie</x:v>
      </x:c>
      <x:c r="C22" t="str">
        <x:f>'Katalog kart'!B24</x:f>
        <x:v>Przy ataku</x:v>
      </x:c>
      <x:c r="D22" t="str">
        <x:f>'Katalog kart'!C24</x:f>
        <x:v>ATK ±</x:v>
      </x:c>
      <x:c r="E22" t="str">
        <x:f>'Katalog kart'!D24</x:f>
        <x:v>Dzik Bursztynowych Kłów</x:v>
      </x:c>
      <x:c r="F22" t="n">
        <x:f>'Katalog kart'!E24</x:f>
        <x:v>1</x:v>
      </x:c>
      <x:c r="G22" t="n">
        <x:f>'Katalog kart'!F24</x:f>
        <x:v>6</x:v>
      </x:c>
      <x:c r="H22" s="86" t="n">
        <x:f>IF(Q22="Ofensywny",'Balans — metoda'!$B$11,IF(Q22="Defensywny",0,'Balans — metoda'!$B$11/2))</x:f>
        <x:v>2</x:v>
      </x:c>
      <x:c r="I22" s="86" t="n">
        <x:f>'Balans — metoda'!$B$11-H22</x:f>
        <x:v>0</x:v>
      </x:c>
      <x:c r="J22" s="81" t="n">
        <x:f>F22+H22*'Balans — metoda'!$B$10+U22</x:f>
        <x:v>7</x:v>
      </x:c>
      <x:c r="K22" s="81" t="n">
        <x:f>G22+I22*'Balans — metoda'!$B$10+V22</x:f>
        <x:v>6</x:v>
      </x:c>
      <x:c r="L22" s="104" t="n">
        <x:f>IFERROR(VLOOKUP(C22,'Balans — metoda'!$F$6:$G$10,2,FALSE),0)</x:f>
        <x:v>1.2000000000000002</x:v>
      </x:c>
      <x:c r="M22" s="86"/>
      <x:c r="N22" s="104" t="str">
        <x:f>IF(ISNUMBER(M22),M22*L22,"")</x:f>
      </x:c>
      <x:c r="O22" s="86" t="str">
        <x:v>Do oceny</x:v>
      </x:c>
      <x:c r="P22" s="86"/>
      <x:c r="Q22" s="146" t="str">
        <x:v>Ofensywny</x:v>
      </x:c>
      <x:c r="R22" t="n">
        <x:f>INT('Balans — metoda'!$B$10/'Balans — metoda'!$B$12)</x:f>
        <x:v>1</x:v>
      </x:c>
      <x:c r="S22" t="str">
        <x:f>IF(OR(D22="Szybki atak",D22="Podwójny atak",D22="Tarcza",D22="Prowokacja"),"Patrz J/K",IF(ISNUMBER(M22),M22+R22,"Do opisania"))</x:f>
        <x:v>Do opisania</x:v>
      </x:c>
      <x:c r="T22" t="str">
        <x:v>Efekt liczbowy — proponuj +1 mocy na poziom</x:v>
      </x:c>
      <x:c r="U22" s="160" t="n">
        <x:f>IFERROR(R22*VLOOKUP(D22,'Premie cech'!$A$6:$C$9,2,FALSE),0)</x:f>
        <x:v>0</x:v>
      </x:c>
      <x:c r="V22" s="160" t="n">
        <x:f>IFERROR(R22*VLOOKUP(D22,'Premie cech'!$A$6:$C$9,3,FALSE),0)</x:f>
        <x:v>0</x:v>
      </x:c>
      <x:c r="W22" s="91"/>
    </x:row>
    <x:row r="23" ht="23" customHeight="1">
      <x:c r="A23" t="str">
        <x:f>'Katalog kart'!A25</x:f>
        <x:v>S69</x:v>
      </x:c>
      <x:c r="B23" t="str">
        <x:f>'Katalog kart'!M25</x:f>
        <x:v>Dzikie bestie</x:v>
      </x:c>
      <x:c r="C23" t="str">
        <x:f>'Katalog kart'!B25</x:f>
        <x:v>Przy ataku</x:v>
      </x:c>
      <x:c r="D23" t="str">
        <x:f>'Katalog kart'!C25</x:f>
        <x:v>MAX HP ±</x:v>
      </x:c>
      <x:c r="E23" t="str">
        <x:f>'Katalog kart'!D25</x:f>
        <x:v>Nosorożec Żelaznoskóry</x:v>
      </x:c>
      <x:c r="F23" t="n">
        <x:f>'Katalog kart'!E25</x:f>
        <x:v>3</x:v>
      </x:c>
      <x:c r="G23" t="n">
        <x:f>'Katalog kart'!F25</x:f>
        <x:v>7</x:v>
      </x:c>
      <x:c r="H23" s="86" t="n">
        <x:f>IF(Q23="Ofensywny",'Balans — metoda'!$B$11,IF(Q23="Defensywny",0,'Balans — metoda'!$B$11/2))</x:f>
        <x:v>0</x:v>
      </x:c>
      <x:c r="I23" s="86" t="n">
        <x:f>'Balans — metoda'!$B$11-H23</x:f>
        <x:v>2</x:v>
      </x:c>
      <x:c r="J23" s="81" t="n">
        <x:f>F23+H23*'Balans — metoda'!$B$10+U23</x:f>
        <x:v>3</x:v>
      </x:c>
      <x:c r="K23" s="81" t="n">
        <x:f>G23+I23*'Balans — metoda'!$B$10+V23</x:f>
        <x:v>13</x:v>
      </x:c>
      <x:c r="L23" s="104" t="n">
        <x:f>IFERROR(VLOOKUP(C23,'Balans — metoda'!$F$6:$G$10,2,FALSE),0)</x:f>
        <x:v>1.2000000000000002</x:v>
      </x:c>
      <x:c r="M23" s="86"/>
      <x:c r="N23" s="104" t="str">
        <x:f>IF(ISNUMBER(M23),M23*L23,"")</x:f>
      </x:c>
      <x:c r="O23" s="86" t="str">
        <x:v>Do oceny</x:v>
      </x:c>
      <x:c r="P23" s="86"/>
      <x:c r="Q23" s="146" t="str">
        <x:v>Defensywny</x:v>
      </x:c>
      <x:c r="R23" t="n">
        <x:f>INT('Balans — metoda'!$B$10/'Balans — metoda'!$B$12)</x:f>
        <x:v>1</x:v>
      </x:c>
      <x:c r="S23" t="str">
        <x:f>IF(OR(D23="Szybki atak",D23="Podwójny atak",D23="Tarcza",D23="Prowokacja"),"Patrz J/K",IF(ISNUMBER(M23),M23+R23,"Do opisania"))</x:f>
        <x:v>Do opisania</x:v>
      </x:c>
      <x:c r="T23" t="str">
        <x:v>Efekt liczbowy — proponuj +1 mocy na poziom</x:v>
      </x:c>
      <x:c r="U23" s="160" t="n">
        <x:f>IFERROR(R23*VLOOKUP(D23,'Premie cech'!$A$6:$C$9,2,FALSE),0)</x:f>
        <x:v>0</x:v>
      </x:c>
      <x:c r="V23" s="160" t="n">
        <x:f>IFERROR(R23*VLOOKUP(D23,'Premie cech'!$A$6:$C$9,3,FALSE),0)</x:f>
        <x:v>0</x:v>
      </x:c>
      <x:c r="W23" s="91"/>
    </x:row>
    <x:row r="24" ht="23" customHeight="1">
      <x:c r="A24" t="str">
        <x:f>'Katalog kart'!A26</x:f>
        <x:v>S12</x:v>
      </x:c>
      <x:c r="B24" t="str">
        <x:f>'Katalog kart'!M26</x:f>
        <x:v>Dzikie bestie</x:v>
      </x:c>
      <x:c r="C24" t="str">
        <x:f>'Katalog kart'!B26</x:f>
        <x:v>Przy ataku</x:v>
      </x:c>
      <x:c r="D24" t="str">
        <x:f>'Katalog kart'!C26</x:f>
        <x:v>Pancerz</x:v>
      </x:c>
      <x:c r="E24" t="str">
        <x:f>'Katalog kart'!D26</x:f>
        <x:v>Żarłacz Pancerzy</x:v>
      </x:c>
      <x:c r="F24" t="n">
        <x:f>'Katalog kart'!E26</x:f>
        <x:v>4</x:v>
      </x:c>
      <x:c r="G24" t="n">
        <x:f>'Katalog kart'!F26</x:f>
        <x:v>5</x:v>
      </x:c>
      <x:c r="H24" s="86" t="n">
        <x:f>IF(Q24="Ofensywny",'Balans — metoda'!$B$11,IF(Q24="Defensywny",0,'Balans — metoda'!$B$11/2))</x:f>
        <x:v>0</x:v>
      </x:c>
      <x:c r="I24" s="86" t="n">
        <x:f>'Balans — metoda'!$B$11-H24</x:f>
        <x:v>2</x:v>
      </x:c>
      <x:c r="J24" s="81" t="n">
        <x:f>F24+H24*'Balans — metoda'!$B$10+U24</x:f>
        <x:v>4</x:v>
      </x:c>
      <x:c r="K24" s="81" t="n">
        <x:f>G24+I24*'Balans — metoda'!$B$10+V24</x:f>
        <x:v>11</x:v>
      </x:c>
      <x:c r="L24" s="104" t="n">
        <x:f>IFERROR(VLOOKUP(C24,'Balans — metoda'!$F$6:$G$10,2,FALSE),0)</x:f>
        <x:v>1.2000000000000002</x:v>
      </x:c>
      <x:c r="M24" s="86"/>
      <x:c r="N24" s="104" t="str">
        <x:f>IF(ISNUMBER(M24),M24*L24,"")</x:f>
      </x:c>
      <x:c r="O24" s="86" t="str">
        <x:v>Do oceny</x:v>
      </x:c>
      <x:c r="P24" s="86"/>
      <x:c r="Q24" s="146" t="str">
        <x:v>Defensywny</x:v>
      </x:c>
      <x:c r="R24" t="n">
        <x:f>INT('Balans — metoda'!$B$10/'Balans — metoda'!$B$12)</x:f>
        <x:v>1</x:v>
      </x:c>
      <x:c r="S24" t="str">
        <x:f>IF(OR(D24="Szybki atak",D24="Podwójny atak",D24="Tarcza",D24="Prowokacja"),"Patrz J/K",IF(ISNUMBER(M24),M24+R24,"Do opisania"))</x:f>
        <x:v>Do opisania</x:v>
      </x:c>
      <x:c r="T24" t="str">
        <x:v>Efekt liczbowy — proponuj +1 mocy na poziom</x:v>
      </x:c>
      <x:c r="U24" s="160" t="n">
        <x:f>IFERROR(R24*VLOOKUP(D24,'Premie cech'!$A$6:$C$9,2,FALSE),0)</x:f>
        <x:v>0</x:v>
      </x:c>
      <x:c r="V24" s="160" t="n">
        <x:f>IFERROR(R24*VLOOKUP(D24,'Premie cech'!$A$6:$C$9,3,FALSE),0)</x:f>
        <x:v>0</x:v>
      </x:c>
      <x:c r="W24" s="91"/>
    </x:row>
    <x:row r="25" ht="23" customHeight="1">
      <x:c r="A25" t="str">
        <x:f>'Katalog kart'!A27</x:f>
        <x:v>S70</x:v>
      </x:c>
      <x:c r="B25" t="str">
        <x:f>'Katalog kart'!M27</x:f>
        <x:v>Dzikie bestie</x:v>
      </x:c>
      <x:c r="C25" t="str">
        <x:f>'Katalog kart'!B27</x:f>
        <x:v>Przy ataku</x:v>
      </x:c>
      <x:c r="D25" t="str">
        <x:f>'Katalog kart'!C27</x:f>
        <x:v>Tarcza</x:v>
      </x:c>
      <x:c r="E25" t="str">
        <x:f>'Katalog kart'!D27</x:f>
        <x:v>Żółw Rogaty</x:v>
      </x:c>
      <x:c r="F25" t="n">
        <x:f>'Katalog kart'!E27</x:f>
        <x:v>3</x:v>
      </x:c>
      <x:c r="G25" t="n">
        <x:f>'Katalog kart'!F27</x:f>
        <x:v>6</x:v>
      </x:c>
      <x:c r="H25" s="86" t="n">
        <x:f>IF(Q25="Ofensywny",'Balans — metoda'!$B$11,IF(Q25="Defensywny",0,'Balans — metoda'!$B$11/2))</x:f>
        <x:v>0</x:v>
      </x:c>
      <x:c r="I25" s="86" t="n">
        <x:f>'Balans — metoda'!$B$11-H25</x:f>
        <x:v>2</x:v>
      </x:c>
      <x:c r="J25" s="81" t="n">
        <x:f>F25+H25*'Balans — metoda'!$B$10+U25</x:f>
        <x:v>3</x:v>
      </x:c>
      <x:c r="K25" s="81" t="n">
        <x:f>G25+I25*'Balans — metoda'!$B$10+V25</x:f>
        <x:v>15</x:v>
      </x:c>
      <x:c r="L25" s="104" t="n">
        <x:f>IFERROR(VLOOKUP(C25,'Balans — metoda'!$F$6:$G$10,2,FALSE),0)</x:f>
        <x:v>1.2000000000000002</x:v>
      </x:c>
      <x:c r="M25" s="86"/>
      <x:c r="N25" s="104" t="str">
        <x:f>IF(ISNUMBER(M25),M25*L25,"")</x:f>
      </x:c>
      <x:c r="O25" s="86" t="str">
        <x:v>Do oceny</x:v>
      </x:c>
      <x:c r="P25" s="86"/>
      <x:c r="Q25" s="146" t="str">
        <x:v>Defensywny</x:v>
      </x:c>
      <x:c r="R25" t="n">
        <x:f>INT('Balans — metoda'!$B$10/'Balans — metoda'!$B$12)</x:f>
        <x:v>1</x:v>
      </x:c>
      <x:c r="S25" t="str">
        <x:f>IF(OR(D25="Szybki atak",D25="Podwójny atak",D25="Tarcza",D25="Prowokacja"),"Patrz J/K",IF(ISNUMBER(M25),M25+R25,"Do opisania"))</x:f>
        <x:v>Patrz J/K</x:v>
      </x:c>
      <x:c r="T25" t="str">
        <x:v>Bonus statystyk cechy — uwzględniony w J/K</x:v>
      </x:c>
      <x:c r="U25" s="160" t="n">
        <x:f>IFERROR(R25*VLOOKUP(D25,'Premie cech'!$A$6:$C$9,2,FALSE),0)</x:f>
        <x:v>0</x:v>
      </x:c>
      <x:c r="V25" s="160" t="n">
        <x:f>IFERROR(R25*VLOOKUP(D25,'Premie cech'!$A$6:$C$9,3,FALSE),0)</x:f>
        <x:v>3</x:v>
      </x:c>
      <x:c r="W25" s="91" t="str">
        <x:v>Co 3 własne tury na ręce: dodatkowo +3 MAX HP.</x:v>
      </x:c>
    </x:row>
    <x:row r="26" ht="23" customHeight="1">
      <x:c r="A26" t="str">
        <x:f>'Katalog kart'!A28</x:f>
        <x:v>S11</x:v>
      </x:c>
      <x:c r="B26" t="str">
        <x:f>'Katalog kart'!M28</x:f>
        <x:v>Dzikie bestie</x:v>
      </x:c>
      <x:c r="C26" t="str">
        <x:f>'Katalog kart'!B28</x:f>
        <x:v>Przy ataku</x:v>
      </x:c>
      <x:c r="D26" t="str">
        <x:f>'Katalog kart'!C28</x:f>
        <x:v>Trucizna</x:v>
      </x:c>
      <x:c r="E26" t="str">
        <x:f>'Katalog kart'!D28</x:f>
        <x:v>Jadowita Żmija</x:v>
      </x:c>
      <x:c r="F26" t="n">
        <x:f>'Katalog kart'!E28</x:f>
        <x:v>1</x:v>
      </x:c>
      <x:c r="G26" t="n">
        <x:f>'Katalog kart'!F28</x:f>
        <x:v>5</x:v>
      </x:c>
      <x:c r="H26" s="86" t="n">
        <x:f>IF(Q26="Ofensywny",'Balans — metoda'!$B$11,IF(Q26="Defensywny",0,'Balans — metoda'!$B$11/2))</x:f>
        <x:v>2</x:v>
      </x:c>
      <x:c r="I26" s="86" t="n">
        <x:f>'Balans — metoda'!$B$11-H26</x:f>
        <x:v>0</x:v>
      </x:c>
      <x:c r="J26" s="81" t="n">
        <x:f>F26+H26*'Balans — metoda'!$B$10+U26</x:f>
        <x:v>7</x:v>
      </x:c>
      <x:c r="K26" s="81" t="n">
        <x:f>G26+I26*'Balans — metoda'!$B$10+V26</x:f>
        <x:v>5</x:v>
      </x:c>
      <x:c r="L26" s="104" t="n">
        <x:f>IFERROR(VLOOKUP(C26,'Balans — metoda'!$F$6:$G$10,2,FALSE),0)</x:f>
        <x:v>1.2000000000000002</x:v>
      </x:c>
      <x:c r="M26" s="86"/>
      <x:c r="N26" s="104" t="str">
        <x:f>IF(ISNUMBER(M26),M26*L26,"")</x:f>
      </x:c>
      <x:c r="O26" s="86" t="str">
        <x:v>Do oceny</x:v>
      </x:c>
      <x:c r="P26" s="86"/>
      <x:c r="Q26" s="146" t="str">
        <x:v>Ofensywny</x:v>
      </x:c>
      <x:c r="R26" t="n">
        <x:f>INT('Balans — metoda'!$B$10/'Balans — metoda'!$B$12)</x:f>
        <x:v>1</x:v>
      </x:c>
      <x:c r="S26" t="str">
        <x:f>IF(OR(D26="Szybki atak",D26="Podwójny atak",D26="Tarcza",D26="Prowokacja"),"Patrz J/K",IF(ISNUMBER(M26),M26+R26,"Do opisania"))</x:f>
        <x:v>Do opisania</x:v>
      </x:c>
      <x:c r="T26" t="str">
        <x:v>Efekt liczbowy — proponuj +1 mocy na poziom</x:v>
      </x:c>
      <x:c r="U26" s="160" t="n">
        <x:f>IFERROR(R26*VLOOKUP(D26,'Premie cech'!$A$6:$C$9,2,FALSE),0)</x:f>
        <x:v>0</x:v>
      </x:c>
      <x:c r="V26" s="160" t="n">
        <x:f>IFERROR(R26*VLOOKUP(D26,'Premie cech'!$A$6:$C$9,3,FALSE),0)</x:f>
        <x:v>0</x:v>
      </x:c>
      <x:c r="W26" s="91"/>
    </x:row>
    <x:row r="27" ht="23" customHeight="1">
      <x:c r="A27" t="str">
        <x:f>'Katalog kart'!A29</x:f>
        <x:v>S15</x:v>
      </x:c>
      <x:c r="B27" t="str">
        <x:f>'Katalog kart'!M29</x:f>
        <x:v>Dzikie bestie</x:v>
      </x:c>
      <x:c r="C27" t="str">
        <x:f>'Katalog kart'!B29</x:f>
        <x:v>Przy ataku</x:v>
      </x:c>
      <x:c r="D27" t="str">
        <x:f>'Katalog kart'!C29</x:f>
        <x:v>Ogłuszenie</x:v>
      </x:c>
      <x:c r="E27" t="str">
        <x:f>'Katalog kart'!D29</x:f>
        <x:v>Niedźwiedź Grzmotu</x:v>
      </x:c>
      <x:c r="F27" t="n">
        <x:f>'Katalog kart'!E29</x:f>
        <x:v>1</x:v>
      </x:c>
      <x:c r="G27" t="n">
        <x:f>'Katalog kart'!F29</x:f>
        <x:v>6</x:v>
      </x:c>
      <x:c r="H27" s="86" t="n">
        <x:f>IF(Q27="Ofensywny",'Balans — metoda'!$B$11,IF(Q27="Defensywny",0,'Balans — metoda'!$B$11/2))</x:f>
        <x:v>1</x:v>
      </x:c>
      <x:c r="I27" s="86" t="n">
        <x:f>'Balans — metoda'!$B$11-H27</x:f>
        <x:v>1</x:v>
      </x:c>
      <x:c r="J27" s="81" t="n">
        <x:f>F27+H27*'Balans — metoda'!$B$10+U27</x:f>
        <x:v>4</x:v>
      </x:c>
      <x:c r="K27" s="81" t="n">
        <x:f>G27+I27*'Balans — metoda'!$B$10+V27</x:f>
        <x:v>9</x:v>
      </x:c>
      <x:c r="L27" s="104" t="n">
        <x:f>IFERROR(VLOOKUP(C27,'Balans — metoda'!$F$6:$G$10,2,FALSE),0)</x:f>
        <x:v>1.2000000000000002</x:v>
      </x:c>
      <x:c r="M27" s="86"/>
      <x:c r="N27" s="104" t="str">
        <x:f>IF(ISNUMBER(M27),M27*L27,"")</x:f>
      </x:c>
      <x:c r="O27" s="86" t="str">
        <x:v>Do oceny</x:v>
      </x:c>
      <x:c r="P27" s="86"/>
      <x:c r="Q27" s="146" t="str">
        <x:v>Zrównoważony</x:v>
      </x:c>
      <x:c r="R27" t="n">
        <x:f>INT('Balans — metoda'!$B$10/'Balans — metoda'!$B$12)</x:f>
        <x:v>1</x:v>
      </x:c>
      <x:c r="S27" t="str">
        <x:f>IF(OR(D27="Szybki atak",D27="Podwójny atak",D27="Tarcza",D27="Prowokacja"),"Patrz J/K",IF(ISNUMBER(M27),M27+R27,"Do opisania"))</x:f>
        <x:v>Do opisania</x:v>
      </x:c>
      <x:c r="T27" t="str">
        <x:v>Efekt jakościowy — określ ulepszenie co 3 tury</x:v>
      </x:c>
      <x:c r="U27" s="160" t="n">
        <x:f>IFERROR(R27*VLOOKUP(D27,'Premie cech'!$A$6:$C$9,2,FALSE),0)</x:f>
        <x:v>0</x:v>
      </x:c>
      <x:c r="V27" s="160" t="n">
        <x:f>IFERROR(R27*VLOOKUP(D27,'Premie cech'!$A$6:$C$9,3,FALSE),0)</x:f>
        <x:v>0</x:v>
      </x:c>
      <x:c r="W27" s="91"/>
    </x:row>
    <x:row r="28" ht="23" customHeight="1">
      <x:c r="A28" t="str">
        <x:f>'Katalog kart'!A30</x:f>
        <x:v>S71</x:v>
      </x:c>
      <x:c r="B28" t="str">
        <x:f>'Katalog kart'!M30</x:f>
        <x:v>Dzikie bestie</x:v>
      </x:c>
      <x:c r="C28" t="str">
        <x:f>'Katalog kart'!B30</x:f>
        <x:v>Przy ataku</x:v>
      </x:c>
      <x:c r="D28" t="str">
        <x:f>'Katalog kart'!C30</x:f>
        <x:v>Regeneracja</x:v>
      </x:c>
      <x:c r="E28" t="str">
        <x:f>'Katalog kart'!D30</x:f>
        <x:v>Salamandra Odnowy</x:v>
      </x:c>
      <x:c r="F28" t="n">
        <x:f>'Katalog kart'!E30</x:f>
        <x:v>2</x:v>
      </x:c>
      <x:c r="G28" t="n">
        <x:f>'Katalog kart'!F30</x:f>
        <x:v>6</x:v>
      </x:c>
      <x:c r="H28" s="86" t="n">
        <x:f>IF(Q28="Ofensywny",'Balans — metoda'!$B$11,IF(Q28="Defensywny",0,'Balans — metoda'!$B$11/2))</x:f>
        <x:v>0</x:v>
      </x:c>
      <x:c r="I28" s="86" t="n">
        <x:f>'Balans — metoda'!$B$11-H28</x:f>
        <x:v>2</x:v>
      </x:c>
      <x:c r="J28" s="81" t="n">
        <x:f>F28+H28*'Balans — metoda'!$B$10+U28</x:f>
        <x:v>2</x:v>
      </x:c>
      <x:c r="K28" s="81" t="n">
        <x:f>G28+I28*'Balans — metoda'!$B$10+V28</x:f>
        <x:v>12</x:v>
      </x:c>
      <x:c r="L28" s="104" t="n">
        <x:f>IFERROR(VLOOKUP(C28,'Balans — metoda'!$F$6:$G$10,2,FALSE),0)</x:f>
        <x:v>1.2000000000000002</x:v>
      </x:c>
      <x:c r="M28" s="86"/>
      <x:c r="N28" s="104" t="str">
        <x:f>IF(ISNUMBER(M28),M28*L28,"")</x:f>
      </x:c>
      <x:c r="O28" s="86" t="str">
        <x:v>Do oceny</x:v>
      </x:c>
      <x:c r="P28" s="86"/>
      <x:c r="Q28" s="146" t="str">
        <x:v>Defensywny</x:v>
      </x:c>
      <x:c r="R28" t="n">
        <x:f>INT('Balans — metoda'!$B$10/'Balans — metoda'!$B$12)</x:f>
        <x:v>1</x:v>
      </x:c>
      <x:c r="S28" t="str">
        <x:f>IF(OR(D28="Szybki atak",D28="Podwójny atak",D28="Tarcza",D28="Prowokacja"),"Patrz J/K",IF(ISNUMBER(M28),M28+R28,"Do opisania"))</x:f>
        <x:v>Do opisania</x:v>
      </x:c>
      <x:c r="T28" t="str">
        <x:v>Efekt liczbowy — proponuj +1 mocy na poziom</x:v>
      </x:c>
      <x:c r="U28" s="160" t="n">
        <x:f>IFERROR(R28*VLOOKUP(D28,'Premie cech'!$A$6:$C$9,2,FALSE),0)</x:f>
        <x:v>0</x:v>
      </x:c>
      <x:c r="V28" s="160" t="n">
        <x:f>IFERROR(R28*VLOOKUP(D28,'Premie cech'!$A$6:$C$9,3,FALSE),0)</x:f>
        <x:v>0</x:v>
      </x:c>
      <x:c r="W28" s="91"/>
    </x:row>
    <x:row r="29" ht="23" customHeight="1">
      <x:c r="A29" t="str">
        <x:f>'Katalog kart'!A31</x:f>
        <x:v>S72</x:v>
      </x:c>
      <x:c r="B29" t="str">
        <x:f>'Katalog kart'!M31</x:f>
        <x:v>Dzikie bestie</x:v>
      </x:c>
      <x:c r="C29" t="str">
        <x:f>'Katalog kart'!B31</x:f>
        <x:v>Przy ataku</x:v>
      </x:c>
      <x:c r="D29" t="str">
        <x:f>'Katalog kart'!C31</x:f>
        <x:v>Prowokacja</x:v>
      </x:c>
      <x:c r="E29" t="str">
        <x:f>'Katalog kart'!D31</x:f>
        <x:v>Bawół Strażnik</x:v>
      </x:c>
      <x:c r="F29" t="n">
        <x:f>'Katalog kart'!E31</x:f>
        <x:v>2</x:v>
      </x:c>
      <x:c r="G29" t="n">
        <x:f>'Katalog kart'!F31</x:f>
        <x:v>8</x:v>
      </x:c>
      <x:c r="H29" s="86" t="n">
        <x:f>IF(Q29="Ofensywny",'Balans — metoda'!$B$11,IF(Q29="Defensywny",0,'Balans — metoda'!$B$11/2))</x:f>
        <x:v>0</x:v>
      </x:c>
      <x:c r="I29" s="86" t="n">
        <x:f>'Balans — metoda'!$B$11-H29</x:f>
        <x:v>2</x:v>
      </x:c>
      <x:c r="J29" s="81" t="n">
        <x:f>F29+H29*'Balans — metoda'!$B$10+U29</x:f>
        <x:v>2</x:v>
      </x:c>
      <x:c r="K29" s="81" t="n">
        <x:f>G29+I29*'Balans — metoda'!$B$10+V29</x:f>
        <x:v>17</x:v>
      </x:c>
      <x:c r="L29" s="104" t="n">
        <x:f>IFERROR(VLOOKUP(C29,'Balans — metoda'!$F$6:$G$10,2,FALSE),0)</x:f>
        <x:v>1.2000000000000002</x:v>
      </x:c>
      <x:c r="M29" s="86"/>
      <x:c r="N29" s="104" t="str">
        <x:f>IF(ISNUMBER(M29),M29*L29,"")</x:f>
      </x:c>
      <x:c r="O29" s="86" t="str">
        <x:v>Do oceny</x:v>
      </x:c>
      <x:c r="P29" s="86"/>
      <x:c r="Q29" s="146" t="str">
        <x:v>Defensywny</x:v>
      </x:c>
      <x:c r="R29" t="n">
        <x:f>INT('Balans — metoda'!$B$10/'Balans — metoda'!$B$12)</x:f>
        <x:v>1</x:v>
      </x:c>
      <x:c r="S29" t="str">
        <x:f>IF(OR(D29="Szybki atak",D29="Podwójny atak",D29="Tarcza",D29="Prowokacja"),"Patrz J/K",IF(ISNUMBER(M29),M29+R29,"Do opisania"))</x:f>
        <x:v>Patrz J/K</x:v>
      </x:c>
      <x:c r="T29" t="str">
        <x:v>Bonus statystyk cechy — uwzględniony w J/K</x:v>
      </x:c>
      <x:c r="U29" s="160" t="n">
        <x:f>IFERROR(R29*VLOOKUP(D29,'Premie cech'!$A$6:$C$9,2,FALSE),0)</x:f>
        <x:v>0</x:v>
      </x:c>
      <x:c r="V29" s="160" t="n">
        <x:f>IFERROR(R29*VLOOKUP(D29,'Premie cech'!$A$6:$C$9,3,FALSE),0)</x:f>
        <x:v>3</x:v>
      </x:c>
      <x:c r="W29" s="91" t="str">
        <x:v>Co 3 własne tury na ręce: dodatkowo +3 MAX HP.</x:v>
      </x:c>
    </x:row>
    <x:row r="30" ht="23" customHeight="1">
      <x:c r="A30" t="str">
        <x:f>'Katalog kart'!A32</x:f>
        <x:v>S74</x:v>
      </x:c>
      <x:c r="B30" t="str">
        <x:f>'Katalog kart'!M32</x:f>
        <x:v>Dzikie bestie</x:v>
      </x:c>
      <x:c r="C30" t="str">
        <x:f>'Katalog kart'!B32</x:f>
        <x:v>Przy ataku</x:v>
      </x:c>
      <x:c r="D30" t="str">
        <x:f>'Katalog kart'!C32</x:f>
        <x:v>Oczyszczanie</x:v>
      </x:c>
      <x:c r="E30" t="str">
        <x:f>'Katalog kart'!D32</x:f>
        <x:v>Lis Oczyszczający</x:v>
      </x:c>
      <x:c r="F30" t="n">
        <x:f>'Katalog kart'!E32</x:f>
        <x:v>1</x:v>
      </x:c>
      <x:c r="G30" t="n">
        <x:f>'Katalog kart'!F32</x:f>
        <x:v>6</x:v>
      </x:c>
      <x:c r="H30" s="86" t="n">
        <x:f>IF(Q30="Ofensywny",'Balans — metoda'!$B$11,IF(Q30="Defensywny",0,'Balans — metoda'!$B$11/2))</x:f>
        <x:v>1</x:v>
      </x:c>
      <x:c r="I30" s="86" t="n">
        <x:f>'Balans — metoda'!$B$11-H30</x:f>
        <x:v>1</x:v>
      </x:c>
      <x:c r="J30" s="81" t="n">
        <x:f>F30+H30*'Balans — metoda'!$B$10+U30</x:f>
        <x:v>4</x:v>
      </x:c>
      <x:c r="K30" s="81" t="n">
        <x:f>G30+I30*'Balans — metoda'!$B$10+V30</x:f>
        <x:v>9</x:v>
      </x:c>
      <x:c r="L30" s="104" t="n">
        <x:f>IFERROR(VLOOKUP(C30,'Balans — metoda'!$F$6:$G$10,2,FALSE),0)</x:f>
        <x:v>1.2000000000000002</x:v>
      </x:c>
      <x:c r="M30" s="86"/>
      <x:c r="N30" s="104" t="str">
        <x:f>IF(ISNUMBER(M30),M30*L30,"")</x:f>
      </x:c>
      <x:c r="O30" s="86" t="str">
        <x:v>Do oceny</x:v>
      </x:c>
      <x:c r="P30" s="86"/>
      <x:c r="Q30" s="146" t="str">
        <x:v>Zrównoważony</x:v>
      </x:c>
      <x:c r="R30" t="n">
        <x:f>INT('Balans — metoda'!$B$10/'Balans — metoda'!$B$12)</x:f>
        <x:v>1</x:v>
      </x:c>
      <x:c r="S30" t="str">
        <x:f>IF(OR(D30="Szybki atak",D30="Podwójny atak",D30="Tarcza",D30="Prowokacja"),"Patrz J/K",IF(ISNUMBER(M30),M30+R30,"Do opisania"))</x:f>
        <x:v>Do opisania</x:v>
      </x:c>
      <x:c r="T30" t="str">
        <x:v>Efekt jakościowy — określ ulepszenie co 3 tury</x:v>
      </x:c>
      <x:c r="U30" s="160" t="n">
        <x:f>IFERROR(R30*VLOOKUP(D30,'Premie cech'!$A$6:$C$9,2,FALSE),0)</x:f>
        <x:v>0</x:v>
      </x:c>
      <x:c r="V30" s="160" t="n">
        <x:f>IFERROR(R30*VLOOKUP(D30,'Premie cech'!$A$6:$C$9,3,FALSE),0)</x:f>
        <x:v>0</x:v>
      </x:c>
      <x:c r="W30" s="91"/>
    </x:row>
    <x:row r="31" ht="23" customHeight="1">
      <x:c r="A31" t="str">
        <x:f>'Katalog kart'!A33</x:f>
        <x:v>S76</x:v>
      </x:c>
      <x:c r="B31" t="str">
        <x:f>'Katalog kart'!M33</x:f>
        <x:v>Dzikie bestie</x:v>
      </x:c>
      <x:c r="C31" t="str">
        <x:f>'Katalog kart'!B33</x:f>
        <x:v>Przy ataku</x:v>
      </x:c>
      <x:c r="D31" t="str">
        <x:f>'Katalog kart'!C33</x:f>
        <x:v>Odporność</x:v>
      </x:c>
      <x:c r="E31" t="str">
        <x:f>'Katalog kart'!D33</x:f>
        <x:v>Miodożer Nieugięty</x:v>
      </x:c>
      <x:c r="F31" t="n">
        <x:f>'Katalog kart'!E33</x:f>
        <x:v>4</x:v>
      </x:c>
      <x:c r="G31" t="n">
        <x:f>'Katalog kart'!F33</x:f>
        <x:v>6</x:v>
      </x:c>
      <x:c r="H31" s="86" t="n">
        <x:f>IF(Q31="Ofensywny",'Balans — metoda'!$B$11,IF(Q31="Defensywny",0,'Balans — metoda'!$B$11/2))</x:f>
        <x:v>0</x:v>
      </x:c>
      <x:c r="I31" s="86" t="n">
        <x:f>'Balans — metoda'!$B$11-H31</x:f>
        <x:v>2</x:v>
      </x:c>
      <x:c r="J31" s="81" t="n">
        <x:f>F31+H31*'Balans — metoda'!$B$10+U31</x:f>
        <x:v>4</x:v>
      </x:c>
      <x:c r="K31" s="81" t="n">
        <x:f>G31+I31*'Balans — metoda'!$B$10+V31</x:f>
        <x:v>12</x:v>
      </x:c>
      <x:c r="L31" s="104" t="n">
        <x:f>IFERROR(VLOOKUP(C31,'Balans — metoda'!$F$6:$G$10,2,FALSE),0)</x:f>
        <x:v>1.2000000000000002</x:v>
      </x:c>
      <x:c r="M31" s="86"/>
      <x:c r="N31" s="104" t="str">
        <x:f>IF(ISNUMBER(M31),M31*L31,"")</x:f>
      </x:c>
      <x:c r="O31" s="86" t="str">
        <x:v>Do oceny</x:v>
      </x:c>
      <x:c r="P31" s="86"/>
      <x:c r="Q31" s="146" t="str">
        <x:v>Defensywny</x:v>
      </x:c>
      <x:c r="R31" t="n">
        <x:f>INT('Balans — metoda'!$B$10/'Balans — metoda'!$B$12)</x:f>
        <x:v>1</x:v>
      </x:c>
      <x:c r="S31" t="str">
        <x:f>IF(OR(D31="Szybki atak",D31="Podwójny atak",D31="Tarcza",D31="Prowokacja"),"Patrz J/K",IF(ISNUMBER(M31),M31+R31,"Do opisania"))</x:f>
        <x:v>Do opisania</x:v>
      </x:c>
      <x:c r="T31" t="str">
        <x:v>Efekt jakościowy — określ ulepszenie co 3 tury</x:v>
      </x:c>
      <x:c r="U31" s="160" t="n">
        <x:f>IFERROR(R31*VLOOKUP(D31,'Premie cech'!$A$6:$C$9,2,FALSE),0)</x:f>
        <x:v>0</x:v>
      </x:c>
      <x:c r="V31" s="160" t="n">
        <x:f>IFERROR(R31*VLOOKUP(D31,'Premie cech'!$A$6:$C$9,3,FALSE),0)</x:f>
        <x:v>0</x:v>
      </x:c>
      <x:c r="W31" s="91"/>
    </x:row>
    <x:row r="32" ht="23" customHeight="1">
      <x:c r="A32" t="str">
        <x:f>'Katalog kart'!A34</x:f>
        <x:v>S78</x:v>
      </x:c>
      <x:c r="B32" t="str">
        <x:f>'Katalog kart'!M34</x:f>
        <x:v>Dzikie bestie</x:v>
      </x:c>
      <x:c r="C32" t="str">
        <x:f>'Katalog kart'!B34</x:f>
        <x:v>Przy ataku</x:v>
      </x:c>
      <x:c r="D32" t="str">
        <x:f>'Katalog kart'!C34</x:f>
        <x:v>Szybki atak</x:v>
      </x:c>
      <x:c r="E32" t="str">
        <x:f>'Katalog kart'!D34</x:f>
        <x:v>Gepard Burzowy</x:v>
      </x:c>
      <x:c r="F32" t="n">
        <x:f>'Katalog kart'!E34</x:f>
        <x:v>2</x:v>
      </x:c>
      <x:c r="G32" t="n">
        <x:f>'Katalog kart'!F34</x:f>
        <x:v>4</x:v>
      </x:c>
      <x:c r="H32" s="86" t="n">
        <x:f>IF(Q32="Ofensywny",'Balans — metoda'!$B$11,IF(Q32="Defensywny",0,'Balans — metoda'!$B$11/2))</x:f>
        <x:v>2</x:v>
      </x:c>
      <x:c r="I32" s="86" t="n">
        <x:f>'Balans — metoda'!$B$11-H32</x:f>
        <x:v>0</x:v>
      </x:c>
      <x:c r="J32" s="81" t="n">
        <x:f>F32+H32*'Balans — metoda'!$B$10+U32</x:f>
        <x:v>10</x:v>
      </x:c>
      <x:c r="K32" s="81" t="n">
        <x:f>G32+I32*'Balans — metoda'!$B$10+V32</x:f>
        <x:v>5</x:v>
      </x:c>
      <x:c r="L32" s="104" t="n">
        <x:f>IFERROR(VLOOKUP(C32,'Balans — metoda'!$F$6:$G$10,2,FALSE),0)</x:f>
        <x:v>1.2000000000000002</x:v>
      </x:c>
      <x:c r="M32" s="86"/>
      <x:c r="N32" s="104" t="str">
        <x:f>IF(ISNUMBER(M32),M32*L32,"")</x:f>
      </x:c>
      <x:c r="O32" s="86" t="str">
        <x:v>Do oceny</x:v>
      </x:c>
      <x:c r="P32" s="86"/>
      <x:c r="Q32" s="146" t="str">
        <x:v>Ofensywny</x:v>
      </x:c>
      <x:c r="R32" t="n">
        <x:f>INT('Balans — metoda'!$B$10/'Balans — metoda'!$B$12)</x:f>
        <x:v>1</x:v>
      </x:c>
      <x:c r="S32" t="str">
        <x:f>IF(OR(D32="Szybki atak",D32="Podwójny atak",D32="Tarcza",D32="Prowokacja"),"Patrz J/K",IF(ISNUMBER(M32),M32+R32,"Do opisania"))</x:f>
        <x:v>Patrz J/K</x:v>
      </x:c>
      <x:c r="T32" t="str">
        <x:v>Bonus statystyk cechy — uwzględniony w J/K</x:v>
      </x:c>
      <x:c r="U32" s="160" t="n">
        <x:f>IFERROR(R32*VLOOKUP(D32,'Premie cech'!$A$6:$C$9,2,FALSE),0)</x:f>
        <x:v>2</x:v>
      </x:c>
      <x:c r="V32" s="160" t="n">
        <x:f>IFERROR(R32*VLOOKUP(D32,'Premie cech'!$A$6:$C$9,3,FALSE),0)</x:f>
        <x:v>1</x:v>
      </x:c>
      <x:c r="W32" s="91" t="str">
        <x:v>Co 3 własne tury na ręce: dodatkowo +2 ATK oraz +1 MAX HP.</x:v>
      </x:c>
    </x:row>
    <x:row r="33" ht="23" customHeight="1">
      <x:c r="A33" t="str">
        <x:f>'Katalog kart'!A35</x:f>
        <x:v>S79</x:v>
      </x:c>
      <x:c r="B33" t="str">
        <x:f>'Katalog kart'!M35</x:f>
        <x:v>Dzikie bestie</x:v>
      </x:c>
      <x:c r="C33" t="str">
        <x:f>'Katalog kart'!B35</x:f>
        <x:v>Przy ataku</x:v>
      </x:c>
      <x:c r="D33" t="str">
        <x:f>'Katalog kart'!C35</x:f>
        <x:v>Podwójny atak</x:v>
      </x:c>
      <x:c r="E33" t="str">
        <x:f>'Katalog kart'!D35</x:f>
        <x:v>Dwugłowa Hiena</x:v>
      </x:c>
      <x:c r="F33" t="n">
        <x:f>'Katalog kart'!E35</x:f>
        <x:v>1</x:v>
      </x:c>
      <x:c r="G33" t="n">
        <x:f>'Katalog kart'!F35</x:f>
        <x:v>5</x:v>
      </x:c>
      <x:c r="H33" s="86" t="n">
        <x:f>IF(Q33="Ofensywny",'Balans — metoda'!$B$11,IF(Q33="Defensywny",0,'Balans — metoda'!$B$11/2))</x:f>
        <x:v>2</x:v>
      </x:c>
      <x:c r="I33" s="86" t="n">
        <x:f>'Balans — metoda'!$B$11-H33</x:f>
        <x:v>0</x:v>
      </x:c>
      <x:c r="J33" s="81" t="n">
        <x:f>F33+H33*'Balans — metoda'!$B$10+U33</x:f>
        <x:v>9</x:v>
      </x:c>
      <x:c r="K33" s="81" t="n">
        <x:f>G33+I33*'Balans — metoda'!$B$10+V33</x:f>
        <x:v>5</x:v>
      </x:c>
      <x:c r="L33" s="104" t="n">
        <x:f>IFERROR(VLOOKUP(C33,'Balans — metoda'!$F$6:$G$10,2,FALSE),0)</x:f>
        <x:v>1.2000000000000002</x:v>
      </x:c>
      <x:c r="M33" s="86"/>
      <x:c r="N33" s="104" t="str">
        <x:f>IF(ISNUMBER(M33),M33*L33,"")</x:f>
      </x:c>
      <x:c r="O33" s="86" t="str">
        <x:v>Do oceny</x:v>
      </x:c>
      <x:c r="P33" s="86"/>
      <x:c r="Q33" s="146" t="str">
        <x:v>Ofensywny</x:v>
      </x:c>
      <x:c r="R33" t="n">
        <x:f>INT('Balans — metoda'!$B$10/'Balans — metoda'!$B$12)</x:f>
        <x:v>1</x:v>
      </x:c>
      <x:c r="S33" t="str">
        <x:f>IF(OR(D33="Szybki atak",D33="Podwójny atak",D33="Tarcza",D33="Prowokacja"),"Patrz J/K",IF(ISNUMBER(M33),M33+R33,"Do opisania"))</x:f>
        <x:v>Patrz J/K</x:v>
      </x:c>
      <x:c r="T33" t="str">
        <x:v>Bonus statystyk cechy — uwzględniony w J/K</x:v>
      </x:c>
      <x:c r="U33" s="160" t="n">
        <x:f>IFERROR(R33*VLOOKUP(D33,'Premie cech'!$A$6:$C$9,2,FALSE),0)</x:f>
        <x:v>2</x:v>
      </x:c>
      <x:c r="V33" s="160" t="n">
        <x:f>IFERROR(R33*VLOOKUP(D33,'Premie cech'!$A$6:$C$9,3,FALSE),0)</x:f>
        <x:v>0</x:v>
      </x:c>
      <x:c r="W33" s="91" t="str">
        <x:v>Co 3 własne tury na ręce: dodatkowo +2 ATK.</x:v>
      </x:c>
    </x:row>
    <x:row r="34" ht="23" customHeight="1">
      <x:c r="A34" t="str">
        <x:f>'Katalog kart'!A36</x:f>
        <x:v>S21</x:v>
      </x:c>
      <x:c r="B34" t="str">
        <x:f>'Katalog kart'!M36</x:f>
        <x:v>Potwory</x:v>
      </x:c>
      <x:c r="C34" t="str">
        <x:f>'Katalog kart'!B36</x:f>
        <x:v>Przy śmierci</x:v>
      </x:c>
      <x:c r="D34" t="str">
        <x:f>'Katalog kart'!C36</x:f>
        <x:v>Obrażenia</x:v>
      </x:c>
      <x:c r="E34" t="str">
        <x:f>'Katalog kart'!D36</x:f>
        <x:v>Widmo Otchłani</x:v>
      </x:c>
      <x:c r="F34" t="n">
        <x:f>'Katalog kart'!E36</x:f>
        <x:v>1</x:v>
      </x:c>
      <x:c r="G34" t="n">
        <x:f>'Katalog kart'!F36</x:f>
        <x:v>4</x:v>
      </x:c>
      <x:c r="H34" s="86" t="n">
        <x:f>IF(Q34="Ofensywny",'Balans — metoda'!$B$11,IF(Q34="Defensywny",0,'Balans — metoda'!$B$11/2))</x:f>
        <x:v>2</x:v>
      </x:c>
      <x:c r="I34" s="86" t="n">
        <x:f>'Balans — metoda'!$B$11-H34</x:f>
        <x:v>0</x:v>
      </x:c>
      <x:c r="J34" s="81" t="n">
        <x:f>F34+H34*'Balans — metoda'!$B$10+U34</x:f>
        <x:v>7</x:v>
      </x:c>
      <x:c r="K34" s="81" t="n">
        <x:f>G34+I34*'Balans — metoda'!$B$10+V34</x:f>
        <x:v>4</x:v>
      </x:c>
      <x:c r="L34" s="104" t="n">
        <x:f>IFERROR(VLOOKUP(C34,'Balans — metoda'!$F$6:$G$10,2,FALSE),0)</x:f>
        <x:v>0.6</x:v>
      </x:c>
      <x:c r="M34" s="86"/>
      <x:c r="N34" s="104" t="str">
        <x:f>IF(ISNUMBER(M34),M34*L34,"")</x:f>
      </x:c>
      <x:c r="O34" s="86" t="str">
        <x:v>Do oceny</x:v>
      </x:c>
      <x:c r="P34" s="86"/>
      <x:c r="Q34" s="146" t="str">
        <x:v>Ofensywny</x:v>
      </x:c>
      <x:c r="R34" t="n">
        <x:f>INT('Balans — metoda'!$B$10/'Balans — metoda'!$B$12)</x:f>
        <x:v>1</x:v>
      </x:c>
      <x:c r="S34" t="str">
        <x:f>IF(OR(D34="Szybki atak",D34="Podwójny atak",D34="Tarcza",D34="Prowokacja"),"Patrz J/K",IF(ISNUMBER(M34),M34+R34,"Do opisania"))</x:f>
        <x:v>Do opisania</x:v>
      </x:c>
      <x:c r="T34" t="str">
        <x:v>Efekt liczbowy — proponuj +1 mocy na poziom</x:v>
      </x:c>
      <x:c r="U34" s="160" t="n">
        <x:f>IFERROR(R34*VLOOKUP(D34,'Premie cech'!$A$6:$C$9,2,FALSE),0)</x:f>
        <x:v>0</x:v>
      </x:c>
      <x:c r="V34" s="160" t="n">
        <x:f>IFERROR(R34*VLOOKUP(D34,'Premie cech'!$A$6:$C$9,3,FALSE),0)</x:f>
        <x:v>0</x:v>
      </x:c>
      <x:c r="W34" s="91"/>
    </x:row>
    <x:row r="35" ht="23" customHeight="1">
      <x:c r="A35" t="str">
        <x:f>'Katalog kart'!A37</x:f>
        <x:v>S17</x:v>
      </x:c>
      <x:c r="B35" t="str">
        <x:f>'Katalog kart'!M37</x:f>
        <x:v>Potwory</x:v>
      </x:c>
      <x:c r="C35" t="str">
        <x:f>'Katalog kart'!B37</x:f>
        <x:v>Przy śmierci</x:v>
      </x:c>
      <x:c r="D35" t="str">
        <x:f>'Katalog kart'!C37</x:f>
        <x:v>Leczenie</x:v>
      </x:c>
      <x:c r="E35" t="str">
        <x:f>'Katalog kart'!D37</x:f>
        <x:v>Duch Ostatniej Łaski</x:v>
      </x:c>
      <x:c r="F35" t="n">
        <x:f>'Katalog kart'!E37</x:f>
        <x:v>3</x:v>
      </x:c>
      <x:c r="G35" t="n">
        <x:f>'Katalog kart'!F37</x:f>
        <x:v>8</x:v>
      </x:c>
      <x:c r="H35" s="86" t="n">
        <x:f>IF(Q35="Ofensywny",'Balans — metoda'!$B$11,IF(Q35="Defensywny",0,'Balans — metoda'!$B$11/2))</x:f>
        <x:v>0</x:v>
      </x:c>
      <x:c r="I35" s="86" t="n">
        <x:f>'Balans — metoda'!$B$11-H35</x:f>
        <x:v>2</x:v>
      </x:c>
      <x:c r="J35" s="81" t="n">
        <x:f>F35+H35*'Balans — metoda'!$B$10+U35</x:f>
        <x:v>3</x:v>
      </x:c>
      <x:c r="K35" s="81" t="n">
        <x:f>G35+I35*'Balans — metoda'!$B$10+V35</x:f>
        <x:v>14</x:v>
      </x:c>
      <x:c r="L35" s="104" t="n">
        <x:f>IFERROR(VLOOKUP(C35,'Balans — metoda'!$F$6:$G$10,2,FALSE),0)</x:f>
        <x:v>0.6</x:v>
      </x:c>
      <x:c r="M35" s="86"/>
      <x:c r="N35" s="104" t="str">
        <x:f>IF(ISNUMBER(M35),M35*L35,"")</x:f>
      </x:c>
      <x:c r="O35" s="86" t="str">
        <x:v>Do oceny</x:v>
      </x:c>
      <x:c r="P35" s="86"/>
      <x:c r="Q35" s="146" t="str">
        <x:v>Defensywny</x:v>
      </x:c>
      <x:c r="R35" t="n">
        <x:f>INT('Balans — metoda'!$B$10/'Balans — metoda'!$B$12)</x:f>
        <x:v>1</x:v>
      </x:c>
      <x:c r="S35" t="str">
        <x:f>IF(OR(D35="Szybki atak",D35="Podwójny atak",D35="Tarcza",D35="Prowokacja"),"Patrz J/K",IF(ISNUMBER(M35),M35+R35,"Do opisania"))</x:f>
        <x:v>Do opisania</x:v>
      </x:c>
      <x:c r="T35" t="str">
        <x:v>Efekt liczbowy — proponuj +1 mocy na poziom</x:v>
      </x:c>
      <x:c r="U35" s="160" t="n">
        <x:f>IFERROR(R35*VLOOKUP(D35,'Premie cech'!$A$6:$C$9,2,FALSE),0)</x:f>
        <x:v>0</x:v>
      </x:c>
      <x:c r="V35" s="160" t="n">
        <x:f>IFERROR(R35*VLOOKUP(D35,'Premie cech'!$A$6:$C$9,3,FALSE),0)</x:f>
        <x:v>0</x:v>
      </x:c>
      <x:c r="W35" s="91"/>
    </x:row>
    <x:row r="36" ht="23" customHeight="1">
      <x:c r="A36" t="str">
        <x:f>'Katalog kart'!A38</x:f>
        <x:v>S23</x:v>
      </x:c>
      <x:c r="B36" t="str">
        <x:f>'Katalog kart'!M38</x:f>
        <x:v>Potwory</x:v>
      </x:c>
      <x:c r="C36" t="str">
        <x:f>'Katalog kart'!B38</x:f>
        <x:v>Przy śmierci</x:v>
      </x:c>
      <x:c r="D36" t="str">
        <x:f>'Katalog kart'!C38</x:f>
        <x:v>ATK ±</x:v>
      </x:c>
      <x:c r="E36" t="str">
        <x:f>'Katalog kart'!D38</x:f>
        <x:v>Klątwonosiciel</x:v>
      </x:c>
      <x:c r="F36" t="n">
        <x:f>'Katalog kart'!E38</x:f>
        <x:v>1</x:v>
      </x:c>
      <x:c r="G36" t="n">
        <x:f>'Katalog kart'!F38</x:f>
        <x:v>3</x:v>
      </x:c>
      <x:c r="H36" s="86" t="n">
        <x:f>IF(Q36="Ofensywny",'Balans — metoda'!$B$11,IF(Q36="Defensywny",0,'Balans — metoda'!$B$11/2))</x:f>
        <x:v>2</x:v>
      </x:c>
      <x:c r="I36" s="86" t="n">
        <x:f>'Balans — metoda'!$B$11-H36</x:f>
        <x:v>0</x:v>
      </x:c>
      <x:c r="J36" s="81" t="n">
        <x:f>F36+H36*'Balans — metoda'!$B$10+U36</x:f>
        <x:v>7</x:v>
      </x:c>
      <x:c r="K36" s="81" t="n">
        <x:f>G36+I36*'Balans — metoda'!$B$10+V36</x:f>
        <x:v>3</x:v>
      </x:c>
      <x:c r="L36" s="104" t="n">
        <x:f>IFERROR(VLOOKUP(C36,'Balans — metoda'!$F$6:$G$10,2,FALSE),0)</x:f>
        <x:v>0.6</x:v>
      </x:c>
      <x:c r="M36" s="86"/>
      <x:c r="N36" s="104" t="str">
        <x:f>IF(ISNUMBER(M36),M36*L36,"")</x:f>
      </x:c>
      <x:c r="O36" s="86" t="str">
        <x:v>Do oceny</x:v>
      </x:c>
      <x:c r="P36" s="86"/>
      <x:c r="Q36" s="146" t="str">
        <x:v>Ofensywny</x:v>
      </x:c>
      <x:c r="R36" t="n">
        <x:f>INT('Balans — metoda'!$B$10/'Balans — metoda'!$B$12)</x:f>
        <x:v>1</x:v>
      </x:c>
      <x:c r="S36" t="str">
        <x:f>IF(OR(D36="Szybki atak",D36="Podwójny atak",D36="Tarcza",D36="Prowokacja"),"Patrz J/K",IF(ISNUMBER(M36),M36+R36,"Do opisania"))</x:f>
        <x:v>Do opisania</x:v>
      </x:c>
      <x:c r="T36" t="str">
        <x:v>Efekt liczbowy — proponuj +1 mocy na poziom</x:v>
      </x:c>
      <x:c r="U36" s="160" t="n">
        <x:f>IFERROR(R36*VLOOKUP(D36,'Premie cech'!$A$6:$C$9,2,FALSE),0)</x:f>
        <x:v>0</x:v>
      </x:c>
      <x:c r="V36" s="160" t="n">
        <x:f>IFERROR(R36*VLOOKUP(D36,'Premie cech'!$A$6:$C$9,3,FALSE),0)</x:f>
        <x:v>0</x:v>
      </x:c>
      <x:c r="W36" s="91"/>
    </x:row>
    <x:row r="37" ht="23" customHeight="1">
      <x:c r="A37" t="str">
        <x:f>'Katalog kart'!A39</x:f>
        <x:v>S81</x:v>
      </x:c>
      <x:c r="B37" t="str">
        <x:f>'Katalog kart'!M39</x:f>
        <x:v>Potwory</x:v>
      </x:c>
      <x:c r="C37" t="str">
        <x:f>'Katalog kart'!B39</x:f>
        <x:v>Przy śmierci</x:v>
      </x:c>
      <x:c r="D37" t="str">
        <x:f>'Katalog kart'!C39</x:f>
        <x:v>MAX HP ±</x:v>
      </x:c>
      <x:c r="E37" t="str">
        <x:f>'Katalog kart'!D39</x:f>
        <x:v>Krwawy Homunkulus</x:v>
      </x:c>
      <x:c r="F37" t="n">
        <x:f>'Katalog kart'!E39</x:f>
        <x:v>4</x:v>
      </x:c>
      <x:c r="G37" t="n">
        <x:f>'Katalog kart'!F39</x:f>
        <x:v>7</x:v>
      </x:c>
      <x:c r="H37" s="86" t="n">
        <x:f>IF(Q37="Ofensywny",'Balans — metoda'!$B$11,IF(Q37="Defensywny",0,'Balans — metoda'!$B$11/2))</x:f>
        <x:v>0</x:v>
      </x:c>
      <x:c r="I37" s="86" t="n">
        <x:f>'Balans — metoda'!$B$11-H37</x:f>
        <x:v>2</x:v>
      </x:c>
      <x:c r="J37" s="81" t="n">
        <x:f>F37+H37*'Balans — metoda'!$B$10+U37</x:f>
        <x:v>4</x:v>
      </x:c>
      <x:c r="K37" s="81" t="n">
        <x:f>G37+I37*'Balans — metoda'!$B$10+V37</x:f>
        <x:v>13</x:v>
      </x:c>
      <x:c r="L37" s="104" t="n">
        <x:f>IFERROR(VLOOKUP(C37,'Balans — metoda'!$F$6:$G$10,2,FALSE),0)</x:f>
        <x:v>0.6</x:v>
      </x:c>
      <x:c r="M37" s="86"/>
      <x:c r="N37" s="104" t="str">
        <x:f>IF(ISNUMBER(M37),M37*L37,"")</x:f>
      </x:c>
      <x:c r="O37" s="86" t="str">
        <x:v>Do oceny</x:v>
      </x:c>
      <x:c r="P37" s="86"/>
      <x:c r="Q37" s="146" t="str">
        <x:v>Defensywny</x:v>
      </x:c>
      <x:c r="R37" t="n">
        <x:f>INT('Balans — metoda'!$B$10/'Balans — metoda'!$B$12)</x:f>
        <x:v>1</x:v>
      </x:c>
      <x:c r="S37" t="str">
        <x:f>IF(OR(D37="Szybki atak",D37="Podwójny atak",D37="Tarcza",D37="Prowokacja"),"Patrz J/K",IF(ISNUMBER(M37),M37+R37,"Do opisania"))</x:f>
        <x:v>Do opisania</x:v>
      </x:c>
      <x:c r="T37" t="str">
        <x:v>Efekt liczbowy — proponuj +1 mocy na poziom</x:v>
      </x:c>
      <x:c r="U37" s="160" t="n">
        <x:f>IFERROR(R37*VLOOKUP(D37,'Premie cech'!$A$6:$C$9,2,FALSE),0)</x:f>
        <x:v>0</x:v>
      </x:c>
      <x:c r="V37" s="160" t="n">
        <x:f>IFERROR(R37*VLOOKUP(D37,'Premie cech'!$A$6:$C$9,3,FALSE),0)</x:f>
        <x:v>0</x:v>
      </x:c>
      <x:c r="W37" s="91"/>
    </x:row>
    <x:row r="38" ht="23" customHeight="1">
      <x:c r="A38" t="str">
        <x:f>'Katalog kart'!A40</x:f>
        <x:v>S82</x:v>
      </x:c>
      <x:c r="B38" t="str">
        <x:f>'Katalog kart'!M40</x:f>
        <x:v>Potwory</x:v>
      </x:c>
      <x:c r="C38" t="str">
        <x:f>'Katalog kart'!B40</x:f>
        <x:v>Przy śmierci</x:v>
      </x:c>
      <x:c r="D38" t="str">
        <x:f>'Katalog kart'!C40</x:f>
        <x:v>Pancerz</x:v>
      </x:c>
      <x:c r="E38" t="str">
        <x:f>'Katalog kart'!D40</x:f>
        <x:v>Golem Grobowy</x:v>
      </x:c>
      <x:c r="F38" t="n">
        <x:f>'Katalog kart'!E40</x:f>
        <x:v>3</x:v>
      </x:c>
      <x:c r="G38" t="n">
        <x:f>'Katalog kart'!F40</x:f>
        <x:v>7</x:v>
      </x:c>
      <x:c r="H38" s="86" t="n">
        <x:f>IF(Q38="Ofensywny",'Balans — metoda'!$B$11,IF(Q38="Defensywny",0,'Balans — metoda'!$B$11/2))</x:f>
        <x:v>0</x:v>
      </x:c>
      <x:c r="I38" s="86" t="n">
        <x:f>'Balans — metoda'!$B$11-H38</x:f>
        <x:v>2</x:v>
      </x:c>
      <x:c r="J38" s="81" t="n">
        <x:f>F38+H38*'Balans — metoda'!$B$10+U38</x:f>
        <x:v>3</x:v>
      </x:c>
      <x:c r="K38" s="81" t="n">
        <x:f>G38+I38*'Balans — metoda'!$B$10+V38</x:f>
        <x:v>13</x:v>
      </x:c>
      <x:c r="L38" s="104" t="n">
        <x:f>IFERROR(VLOOKUP(C38,'Balans — metoda'!$F$6:$G$10,2,FALSE),0)</x:f>
        <x:v>0.6</x:v>
      </x:c>
      <x:c r="M38" s="86"/>
      <x:c r="N38" s="104" t="str">
        <x:f>IF(ISNUMBER(M38),M38*L38,"")</x:f>
      </x:c>
      <x:c r="O38" s="86" t="str">
        <x:v>Do oceny</x:v>
      </x:c>
      <x:c r="P38" s="86"/>
      <x:c r="Q38" s="146" t="str">
        <x:v>Defensywny</x:v>
      </x:c>
      <x:c r="R38" t="n">
        <x:f>INT('Balans — metoda'!$B$10/'Balans — metoda'!$B$12)</x:f>
        <x:v>1</x:v>
      </x:c>
      <x:c r="S38" t="str">
        <x:f>IF(OR(D38="Szybki atak",D38="Podwójny atak",D38="Tarcza",D38="Prowokacja"),"Patrz J/K",IF(ISNUMBER(M38),M38+R38,"Do opisania"))</x:f>
        <x:v>Do opisania</x:v>
      </x:c>
      <x:c r="T38" t="str">
        <x:v>Efekt liczbowy — proponuj +1 mocy na poziom</x:v>
      </x:c>
      <x:c r="U38" s="160" t="n">
        <x:f>IFERROR(R38*VLOOKUP(D38,'Premie cech'!$A$6:$C$9,2,FALSE),0)</x:f>
        <x:v>0</x:v>
      </x:c>
      <x:c r="V38" s="160" t="n">
        <x:f>IFERROR(R38*VLOOKUP(D38,'Premie cech'!$A$6:$C$9,3,FALSE),0)</x:f>
        <x:v>0</x:v>
      </x:c>
      <x:c r="W38" s="91"/>
    </x:row>
    <x:row r="39" ht="23" customHeight="1">
      <x:c r="A39" t="str">
        <x:f>'Katalog kart'!A41</x:f>
        <x:v>S20</x:v>
      </x:c>
      <x:c r="B39" t="str">
        <x:f>'Katalog kart'!M41</x:f>
        <x:v>Potwory</x:v>
      </x:c>
      <x:c r="C39" t="str">
        <x:f>'Katalog kart'!B41</x:f>
        <x:v>Przy śmierci</x:v>
      </x:c>
      <x:c r="D39" t="str">
        <x:f>'Katalog kart'!C41</x:f>
        <x:v>Tarcza</x:v>
      </x:c>
      <x:c r="E39" t="str">
        <x:f>'Katalog kart'!D41</x:f>
        <x:v>Strażnik Mauzoleum</x:v>
      </x:c>
      <x:c r="F39" t="n">
        <x:f>'Katalog kart'!E41</x:f>
        <x:v>4</x:v>
      </x:c>
      <x:c r="G39" t="n">
        <x:f>'Katalog kart'!F41</x:f>
        <x:v>7</x:v>
      </x:c>
      <x:c r="H39" s="86" t="n">
        <x:f>IF(Q39="Ofensywny",'Balans — metoda'!$B$11,IF(Q39="Defensywny",0,'Balans — metoda'!$B$11/2))</x:f>
        <x:v>0</x:v>
      </x:c>
      <x:c r="I39" s="86" t="n">
        <x:f>'Balans — metoda'!$B$11-H39</x:f>
        <x:v>2</x:v>
      </x:c>
      <x:c r="J39" s="81" t="n">
        <x:f>F39+H39*'Balans — metoda'!$B$10+U39</x:f>
        <x:v>4</x:v>
      </x:c>
      <x:c r="K39" s="81" t="n">
        <x:f>G39+I39*'Balans — metoda'!$B$10+V39</x:f>
        <x:v>16</x:v>
      </x:c>
      <x:c r="L39" s="104" t="n">
        <x:f>IFERROR(VLOOKUP(C39,'Balans — metoda'!$F$6:$G$10,2,FALSE),0)</x:f>
        <x:v>0.6</x:v>
      </x:c>
      <x:c r="M39" s="86"/>
      <x:c r="N39" s="104" t="str">
        <x:f>IF(ISNUMBER(M39),M39*L39,"")</x:f>
      </x:c>
      <x:c r="O39" s="86" t="str">
        <x:v>Do oceny</x:v>
      </x:c>
      <x:c r="P39" s="86"/>
      <x:c r="Q39" s="146" t="str">
        <x:v>Defensywny</x:v>
      </x:c>
      <x:c r="R39" t="n">
        <x:f>INT('Balans — metoda'!$B$10/'Balans — metoda'!$B$12)</x:f>
        <x:v>1</x:v>
      </x:c>
      <x:c r="S39" t="str">
        <x:f>IF(OR(D39="Szybki atak",D39="Podwójny atak",D39="Tarcza",D39="Prowokacja"),"Patrz J/K",IF(ISNUMBER(M39),M39+R39,"Do opisania"))</x:f>
        <x:v>Patrz J/K</x:v>
      </x:c>
      <x:c r="T39" t="str">
        <x:v>Bonus statystyk cechy — uwzględniony w J/K</x:v>
      </x:c>
      <x:c r="U39" s="160" t="n">
        <x:f>IFERROR(R39*VLOOKUP(D39,'Premie cech'!$A$6:$C$9,2,FALSE),0)</x:f>
        <x:v>0</x:v>
      </x:c>
      <x:c r="V39" s="160" t="n">
        <x:f>IFERROR(R39*VLOOKUP(D39,'Premie cech'!$A$6:$C$9,3,FALSE),0)</x:f>
        <x:v>3</x:v>
      </x:c>
      <x:c r="W39" s="91" t="str">
        <x:v>Co 3 własne tury na ręce: dodatkowo +3 MAX HP.</x:v>
      </x:c>
    </x:row>
    <x:row r="40" ht="23" customHeight="1">
      <x:c r="A40" t="str">
        <x:f>'Katalog kart'!A42</x:f>
        <x:v>S83</x:v>
      </x:c>
      <x:c r="B40" t="str">
        <x:f>'Katalog kart'!M42</x:f>
        <x:v>Potwory</x:v>
      </x:c>
      <x:c r="C40" t="str">
        <x:f>'Katalog kart'!B42</x:f>
        <x:v>Przy śmierci</x:v>
      </x:c>
      <x:c r="D40" t="str">
        <x:f>'Katalog kart'!C42</x:f>
        <x:v>Trucizna</x:v>
      </x:c>
      <x:c r="E40" t="str">
        <x:f>'Katalog kart'!D42</x:f>
        <x:v>Nosiciel Plagi</x:v>
      </x:c>
      <x:c r="F40" t="n">
        <x:f>'Katalog kart'!E42</x:f>
        <x:v>1</x:v>
      </x:c>
      <x:c r="G40" t="n">
        <x:f>'Katalog kart'!F42</x:f>
        <x:v>5</x:v>
      </x:c>
      <x:c r="H40" s="86" t="n">
        <x:f>IF(Q40="Ofensywny",'Balans — metoda'!$B$11,IF(Q40="Defensywny",0,'Balans — metoda'!$B$11/2))</x:f>
        <x:v>2</x:v>
      </x:c>
      <x:c r="I40" s="86" t="n">
        <x:f>'Balans — metoda'!$B$11-H40</x:f>
        <x:v>0</x:v>
      </x:c>
      <x:c r="J40" s="81" t="n">
        <x:f>F40+H40*'Balans — metoda'!$B$10+U40</x:f>
        <x:v>7</x:v>
      </x:c>
      <x:c r="K40" s="81" t="n">
        <x:f>G40+I40*'Balans — metoda'!$B$10+V40</x:f>
        <x:v>5</x:v>
      </x:c>
      <x:c r="L40" s="104" t="n">
        <x:f>IFERROR(VLOOKUP(C40,'Balans — metoda'!$F$6:$G$10,2,FALSE),0)</x:f>
        <x:v>0.6</x:v>
      </x:c>
      <x:c r="M40" s="86"/>
      <x:c r="N40" s="104" t="str">
        <x:f>IF(ISNUMBER(M40),M40*L40,"")</x:f>
      </x:c>
      <x:c r="O40" s="86" t="str">
        <x:v>Do oceny</x:v>
      </x:c>
      <x:c r="P40" s="86"/>
      <x:c r="Q40" s="146" t="str">
        <x:v>Ofensywny</x:v>
      </x:c>
      <x:c r="R40" t="n">
        <x:f>INT('Balans — metoda'!$B$10/'Balans — metoda'!$B$12)</x:f>
        <x:v>1</x:v>
      </x:c>
      <x:c r="S40" t="str">
        <x:f>IF(OR(D40="Szybki atak",D40="Podwójny atak",D40="Tarcza",D40="Prowokacja"),"Patrz J/K",IF(ISNUMBER(M40),M40+R40,"Do opisania"))</x:f>
        <x:v>Do opisania</x:v>
      </x:c>
      <x:c r="T40" t="str">
        <x:v>Efekt liczbowy — proponuj +1 mocy na poziom</x:v>
      </x:c>
      <x:c r="U40" s="160" t="n">
        <x:f>IFERROR(R40*VLOOKUP(D40,'Premie cech'!$A$6:$C$9,2,FALSE),0)</x:f>
        <x:v>0</x:v>
      </x:c>
      <x:c r="V40" s="160" t="n">
        <x:f>IFERROR(R40*VLOOKUP(D40,'Premie cech'!$A$6:$C$9,3,FALSE),0)</x:f>
        <x:v>0</x:v>
      </x:c>
      <x:c r="W40" s="91"/>
    </x:row>
    <x:row r="41" ht="23" customHeight="1">
      <x:c r="A41" t="str">
        <x:f>'Katalog kart'!A43</x:f>
        <x:v>S84</x:v>
      </x:c>
      <x:c r="B41" t="str">
        <x:f>'Katalog kart'!M43</x:f>
        <x:v>Potwory</x:v>
      </x:c>
      <x:c r="C41" t="str">
        <x:f>'Katalog kart'!B43</x:f>
        <x:v>Przy śmierci</x:v>
      </x:c>
      <x:c r="D41" t="str">
        <x:f>'Katalog kart'!C43</x:f>
        <x:v>Ogłuszenie</x:v>
      </x:c>
      <x:c r="E41" t="str">
        <x:f>'Katalog kart'!D43</x:f>
        <x:v>Banshee Krzyku</x:v>
      </x:c>
      <x:c r="F41" t="n">
        <x:f>'Katalog kart'!E43</x:f>
        <x:v>1</x:v>
      </x:c>
      <x:c r="G41" t="n">
        <x:f>'Katalog kart'!F43</x:f>
        <x:v>4</x:v>
      </x:c>
      <x:c r="H41" s="86" t="n">
        <x:f>IF(Q41="Ofensywny",'Balans — metoda'!$B$11,IF(Q41="Defensywny",0,'Balans — metoda'!$B$11/2))</x:f>
        <x:v>1</x:v>
      </x:c>
      <x:c r="I41" s="86" t="n">
        <x:f>'Balans — metoda'!$B$11-H41</x:f>
        <x:v>1</x:v>
      </x:c>
      <x:c r="J41" s="81" t="n">
        <x:f>F41+H41*'Balans — metoda'!$B$10+U41</x:f>
        <x:v>4</x:v>
      </x:c>
      <x:c r="K41" s="81" t="n">
        <x:f>G41+I41*'Balans — metoda'!$B$10+V41</x:f>
        <x:v>7</x:v>
      </x:c>
      <x:c r="L41" s="104" t="n">
        <x:f>IFERROR(VLOOKUP(C41,'Balans — metoda'!$F$6:$G$10,2,FALSE),0)</x:f>
        <x:v>0.6</x:v>
      </x:c>
      <x:c r="M41" s="86"/>
      <x:c r="N41" s="104" t="str">
        <x:f>IF(ISNUMBER(M41),M41*L41,"")</x:f>
      </x:c>
      <x:c r="O41" s="86" t="str">
        <x:v>Do oceny</x:v>
      </x:c>
      <x:c r="P41" s="86"/>
      <x:c r="Q41" s="146" t="str">
        <x:v>Zrównoważony</x:v>
      </x:c>
      <x:c r="R41" t="n">
        <x:f>INT('Balans — metoda'!$B$10/'Balans — metoda'!$B$12)</x:f>
        <x:v>1</x:v>
      </x:c>
      <x:c r="S41" t="str">
        <x:f>IF(OR(D41="Szybki atak",D41="Podwójny atak",D41="Tarcza",D41="Prowokacja"),"Patrz J/K",IF(ISNUMBER(M41),M41+R41,"Do opisania"))</x:f>
        <x:v>Do opisania</x:v>
      </x:c>
      <x:c r="T41" t="str">
        <x:v>Efekt jakościowy — określ ulepszenie co 3 tury</x:v>
      </x:c>
      <x:c r="U41" s="160" t="n">
        <x:f>IFERROR(R41*VLOOKUP(D41,'Premie cech'!$A$6:$C$9,2,FALSE),0)</x:f>
        <x:v>0</x:v>
      </x:c>
      <x:c r="V41" s="160" t="n">
        <x:f>IFERROR(R41*VLOOKUP(D41,'Premie cech'!$A$6:$C$9,3,FALSE),0)</x:f>
        <x:v>0</x:v>
      </x:c>
      <x:c r="W41" s="91"/>
    </x:row>
    <x:row r="42" ht="23" customHeight="1">
      <x:c r="A42" t="str">
        <x:f>'Katalog kart'!A44</x:f>
        <x:v>S85</x:v>
      </x:c>
      <x:c r="B42" t="str">
        <x:f>'Katalog kart'!M44</x:f>
        <x:v>Potwory</x:v>
      </x:c>
      <x:c r="C42" t="str">
        <x:f>'Katalog kart'!B44</x:f>
        <x:v>Przy śmierci</x:v>
      </x:c>
      <x:c r="D42" t="str">
        <x:f>'Katalog kart'!C44</x:f>
        <x:v>Regeneracja</x:v>
      </x:c>
      <x:c r="E42" t="str">
        <x:f>'Katalog kart'!D44</x:f>
        <x:v>Życiodajne Widmo</x:v>
      </x:c>
      <x:c r="F42" t="n">
        <x:f>'Katalog kart'!E44</x:f>
        <x:v>3</x:v>
      </x:c>
      <x:c r="G42" t="n">
        <x:f>'Katalog kart'!F44</x:f>
        <x:v>6</x:v>
      </x:c>
      <x:c r="H42" s="86" t="n">
        <x:f>IF(Q42="Ofensywny",'Balans — metoda'!$B$11,IF(Q42="Defensywny",0,'Balans — metoda'!$B$11/2))</x:f>
        <x:v>0</x:v>
      </x:c>
      <x:c r="I42" s="86" t="n">
        <x:f>'Balans — metoda'!$B$11-H42</x:f>
        <x:v>2</x:v>
      </x:c>
      <x:c r="J42" s="81" t="n">
        <x:f>F42+H42*'Balans — metoda'!$B$10+U42</x:f>
        <x:v>3</x:v>
      </x:c>
      <x:c r="K42" s="81" t="n">
        <x:f>G42+I42*'Balans — metoda'!$B$10+V42</x:f>
        <x:v>12</x:v>
      </x:c>
      <x:c r="L42" s="104" t="n">
        <x:f>IFERROR(VLOOKUP(C42,'Balans — metoda'!$F$6:$G$10,2,FALSE),0)</x:f>
        <x:v>0.6</x:v>
      </x:c>
      <x:c r="M42" s="86"/>
      <x:c r="N42" s="104" t="str">
        <x:f>IF(ISNUMBER(M42),M42*L42,"")</x:f>
      </x:c>
      <x:c r="O42" s="86" t="str">
        <x:v>Do oceny</x:v>
      </x:c>
      <x:c r="P42" s="86"/>
      <x:c r="Q42" s="146" t="str">
        <x:v>Defensywny</x:v>
      </x:c>
      <x:c r="R42" t="n">
        <x:f>INT('Balans — metoda'!$B$10/'Balans — metoda'!$B$12)</x:f>
        <x:v>1</x:v>
      </x:c>
      <x:c r="S42" t="str">
        <x:f>IF(OR(D42="Szybki atak",D42="Podwójny atak",D42="Tarcza",D42="Prowokacja"),"Patrz J/K",IF(ISNUMBER(M42),M42+R42,"Do opisania"))</x:f>
        <x:v>Do opisania</x:v>
      </x:c>
      <x:c r="T42" t="str">
        <x:v>Efekt liczbowy — proponuj +1 mocy na poziom</x:v>
      </x:c>
      <x:c r="U42" s="160" t="n">
        <x:f>IFERROR(R42*VLOOKUP(D42,'Premie cech'!$A$6:$C$9,2,FALSE),0)</x:f>
        <x:v>0</x:v>
      </x:c>
      <x:c r="V42" s="160" t="n">
        <x:f>IFERROR(R42*VLOOKUP(D42,'Premie cech'!$A$6:$C$9,3,FALSE),0)</x:f>
        <x:v>0</x:v>
      </x:c>
      <x:c r="W42" s="91"/>
    </x:row>
    <x:row r="43" ht="23" customHeight="1">
      <x:c r="A43" t="str">
        <x:f>'Katalog kart'!A45</x:f>
        <x:v>S86</x:v>
      </x:c>
      <x:c r="B43" t="str">
        <x:f>'Katalog kart'!M45</x:f>
        <x:v>Potwory</x:v>
      </x:c>
      <x:c r="C43" t="str">
        <x:f>'Katalog kart'!B45</x:f>
        <x:v>Przy śmierci</x:v>
      </x:c>
      <x:c r="D43" t="str">
        <x:f>'Katalog kart'!C45</x:f>
        <x:v>Prowokacja</x:v>
      </x:c>
      <x:c r="E43" t="str">
        <x:f>'Katalog kart'!D45</x:f>
        <x:v>Trupi Wartownik</x:v>
      </x:c>
      <x:c r="F43" t="n">
        <x:f>'Katalog kart'!E45</x:f>
        <x:v>3</x:v>
      </x:c>
      <x:c r="G43" t="n">
        <x:f>'Katalog kart'!F45</x:f>
        <x:v>9</x:v>
      </x:c>
      <x:c r="H43" s="86" t="n">
        <x:f>IF(Q43="Ofensywny",'Balans — metoda'!$B$11,IF(Q43="Defensywny",0,'Balans — metoda'!$B$11/2))</x:f>
        <x:v>0</x:v>
      </x:c>
      <x:c r="I43" s="86" t="n">
        <x:f>'Balans — metoda'!$B$11-H43</x:f>
        <x:v>2</x:v>
      </x:c>
      <x:c r="J43" s="81" t="n">
        <x:f>F43+H43*'Balans — metoda'!$B$10+U43</x:f>
        <x:v>3</x:v>
      </x:c>
      <x:c r="K43" s="81" t="n">
        <x:f>G43+I43*'Balans — metoda'!$B$10+V43</x:f>
        <x:v>18</x:v>
      </x:c>
      <x:c r="L43" s="104" t="n">
        <x:f>IFERROR(VLOOKUP(C43,'Balans — metoda'!$F$6:$G$10,2,FALSE),0)</x:f>
        <x:v>0.6</x:v>
      </x:c>
      <x:c r="M43" s="86"/>
      <x:c r="N43" s="104" t="str">
        <x:f>IF(ISNUMBER(M43),M43*L43,"")</x:f>
      </x:c>
      <x:c r="O43" s="86" t="str">
        <x:v>Do oceny</x:v>
      </x:c>
      <x:c r="P43" s="86"/>
      <x:c r="Q43" s="146" t="str">
        <x:v>Defensywny</x:v>
      </x:c>
      <x:c r="R43" t="n">
        <x:f>INT('Balans — metoda'!$B$10/'Balans — metoda'!$B$12)</x:f>
        <x:v>1</x:v>
      </x:c>
      <x:c r="S43" t="str">
        <x:f>IF(OR(D43="Szybki atak",D43="Podwójny atak",D43="Tarcza",D43="Prowokacja"),"Patrz J/K",IF(ISNUMBER(M43),M43+R43,"Do opisania"))</x:f>
        <x:v>Patrz J/K</x:v>
      </x:c>
      <x:c r="T43" t="str">
        <x:v>Bonus statystyk cechy — uwzględniony w J/K</x:v>
      </x:c>
      <x:c r="U43" s="160" t="n">
        <x:f>IFERROR(R43*VLOOKUP(D43,'Premie cech'!$A$6:$C$9,2,FALSE),0)</x:f>
        <x:v>0</x:v>
      </x:c>
      <x:c r="V43" s="160" t="n">
        <x:f>IFERROR(R43*VLOOKUP(D43,'Premie cech'!$A$6:$C$9,3,FALSE),0)</x:f>
        <x:v>3</x:v>
      </x:c>
      <x:c r="W43" s="91" t="str">
        <x:v>Co 3 własne tury na ręce: dodatkowo +3 MAX HP.</x:v>
      </x:c>
    </x:row>
    <x:row r="44" ht="23" customHeight="1">
      <x:c r="A44" t="str">
        <x:f>'Katalog kart'!A46</x:f>
        <x:v>S87</x:v>
      </x:c>
      <x:c r="B44" t="str">
        <x:f>'Katalog kart'!M46</x:f>
        <x:v>Potwory</x:v>
      </x:c>
      <x:c r="C44" t="str">
        <x:f>'Katalog kart'!B46</x:f>
        <x:v>Przy śmierci</x:v>
      </x:c>
      <x:c r="D44" t="str">
        <x:f>'Katalog kart'!C46</x:f>
        <x:v>Oczyszczanie</x:v>
      </x:c>
      <x:c r="E44" t="str">
        <x:f>'Katalog kart'!D46</x:f>
        <x:v>Widmo Rozproszenia</x:v>
      </x:c>
      <x:c r="F44" t="n">
        <x:f>'Katalog kart'!E46</x:f>
        <x:v>1</x:v>
      </x:c>
      <x:c r="G44" t="n">
        <x:f>'Katalog kart'!F46</x:f>
        <x:v>6</x:v>
      </x:c>
      <x:c r="H44" s="86" t="n">
        <x:f>IF(Q44="Ofensywny",'Balans — metoda'!$B$11,IF(Q44="Defensywny",0,'Balans — metoda'!$B$11/2))</x:f>
        <x:v>1</x:v>
      </x:c>
      <x:c r="I44" s="86" t="n">
        <x:f>'Balans — metoda'!$B$11-H44</x:f>
        <x:v>1</x:v>
      </x:c>
      <x:c r="J44" s="81" t="n">
        <x:f>F44+H44*'Balans — metoda'!$B$10+U44</x:f>
        <x:v>4</x:v>
      </x:c>
      <x:c r="K44" s="81" t="n">
        <x:f>G44+I44*'Balans — metoda'!$B$10+V44</x:f>
        <x:v>9</x:v>
      </x:c>
      <x:c r="L44" s="104" t="n">
        <x:f>IFERROR(VLOOKUP(C44,'Balans — metoda'!$F$6:$G$10,2,FALSE),0)</x:f>
        <x:v>0.6</x:v>
      </x:c>
      <x:c r="M44" s="86"/>
      <x:c r="N44" s="104" t="str">
        <x:f>IF(ISNUMBER(M44),M44*L44,"")</x:f>
      </x:c>
      <x:c r="O44" s="86" t="str">
        <x:v>Do oceny</x:v>
      </x:c>
      <x:c r="P44" s="86"/>
      <x:c r="Q44" s="146" t="str">
        <x:v>Zrównoważony</x:v>
      </x:c>
      <x:c r="R44" t="n">
        <x:f>INT('Balans — metoda'!$B$10/'Balans — metoda'!$B$12)</x:f>
        <x:v>1</x:v>
      </x:c>
      <x:c r="S44" t="str">
        <x:f>IF(OR(D44="Szybki atak",D44="Podwójny atak",D44="Tarcza",D44="Prowokacja"),"Patrz J/K",IF(ISNUMBER(M44),M44+R44,"Do opisania"))</x:f>
        <x:v>Do opisania</x:v>
      </x:c>
      <x:c r="T44" t="str">
        <x:v>Efekt jakościowy — określ ulepszenie co 3 tury</x:v>
      </x:c>
      <x:c r="U44" s="160" t="n">
        <x:f>IFERROR(R44*VLOOKUP(D44,'Premie cech'!$A$6:$C$9,2,FALSE),0)</x:f>
        <x:v>0</x:v>
      </x:c>
      <x:c r="V44" s="160" t="n">
        <x:f>IFERROR(R44*VLOOKUP(D44,'Premie cech'!$A$6:$C$9,3,FALSE),0)</x:f>
        <x:v>0</x:v>
      </x:c>
      <x:c r="W44" s="91"/>
    </x:row>
    <x:row r="45" ht="23" customHeight="1">
      <x:c r="A45" t="str">
        <x:f>'Katalog kart'!A47</x:f>
        <x:v>S88</x:v>
      </x:c>
      <x:c r="B45" t="str">
        <x:f>'Katalog kart'!M47</x:f>
        <x:v>Potwory</x:v>
      </x:c>
      <x:c r="C45" t="str">
        <x:f>'Katalog kart'!B47</x:f>
        <x:v>Przy śmierci</x:v>
      </x:c>
      <x:c r="D45" t="str">
        <x:f>'Katalog kart'!C47</x:f>
        <x:v>Odporność</x:v>
      </x:c>
      <x:c r="E45" t="str">
        <x:f>'Katalog kart'!D47</x:f>
        <x:v>Grobowy Antymag</x:v>
      </x:c>
      <x:c r="F45" t="n">
        <x:f>'Katalog kart'!E47</x:f>
        <x:v>4</x:v>
      </x:c>
      <x:c r="G45" t="n">
        <x:f>'Katalog kart'!F47</x:f>
        <x:v>7</x:v>
      </x:c>
      <x:c r="H45" s="86" t="n">
        <x:f>IF(Q45="Ofensywny",'Balans — metoda'!$B$11,IF(Q45="Defensywny",0,'Balans — metoda'!$B$11/2))</x:f>
        <x:v>0</x:v>
      </x:c>
      <x:c r="I45" s="86" t="n">
        <x:f>'Balans — metoda'!$B$11-H45</x:f>
        <x:v>2</x:v>
      </x:c>
      <x:c r="J45" s="81" t="n">
        <x:f>F45+H45*'Balans — metoda'!$B$10+U45</x:f>
        <x:v>4</x:v>
      </x:c>
      <x:c r="K45" s="81" t="n">
        <x:f>G45+I45*'Balans — metoda'!$B$10+V45</x:f>
        <x:v>13</x:v>
      </x:c>
      <x:c r="L45" s="104" t="n">
        <x:f>IFERROR(VLOOKUP(C45,'Balans — metoda'!$F$6:$G$10,2,FALSE),0)</x:f>
        <x:v>0.6</x:v>
      </x:c>
      <x:c r="M45" s="86"/>
      <x:c r="N45" s="104" t="str">
        <x:f>IF(ISNUMBER(M45),M45*L45,"")</x:f>
      </x:c>
      <x:c r="O45" s="86" t="str">
        <x:v>Do oceny</x:v>
      </x:c>
      <x:c r="P45" s="86"/>
      <x:c r="Q45" s="146" t="str">
        <x:v>Defensywny</x:v>
      </x:c>
      <x:c r="R45" t="n">
        <x:f>INT('Balans — metoda'!$B$10/'Balans — metoda'!$B$12)</x:f>
        <x:v>1</x:v>
      </x:c>
      <x:c r="S45" t="str">
        <x:f>IF(OR(D45="Szybki atak",D45="Podwójny atak",D45="Tarcza",D45="Prowokacja"),"Patrz J/K",IF(ISNUMBER(M45),M45+R45,"Do opisania"))</x:f>
        <x:v>Do opisania</x:v>
      </x:c>
      <x:c r="T45" t="str">
        <x:v>Efekt jakościowy — określ ulepszenie co 3 tury</x:v>
      </x:c>
      <x:c r="U45" s="160" t="n">
        <x:f>IFERROR(R45*VLOOKUP(D45,'Premie cech'!$A$6:$C$9,2,FALSE),0)</x:f>
        <x:v>0</x:v>
      </x:c>
      <x:c r="V45" s="160" t="n">
        <x:f>IFERROR(R45*VLOOKUP(D45,'Premie cech'!$A$6:$C$9,3,FALSE),0)</x:f>
        <x:v>0</x:v>
      </x:c>
      <x:c r="W45" s="91"/>
    </x:row>
    <x:row r="46" ht="23" customHeight="1">
      <x:c r="A46" t="str">
        <x:f>'Katalog kart'!A48</x:f>
        <x:v>S90</x:v>
      </x:c>
      <x:c r="B46" t="str">
        <x:f>'Katalog kart'!M48</x:f>
        <x:v>Potwory</x:v>
      </x:c>
      <x:c r="C46" t="str">
        <x:f>'Katalog kart'!B48</x:f>
        <x:v>Przy śmierci</x:v>
      </x:c>
      <x:c r="D46" t="str">
        <x:f>'Katalog kart'!C48</x:f>
        <x:v>Szybki atak</x:v>
      </x:c>
      <x:c r="E46" t="str">
        <x:f>'Katalog kart'!D48</x:f>
        <x:v>Koszmar Błyskawic</x:v>
      </x:c>
      <x:c r="F46" t="n">
        <x:f>'Katalog kart'!E48</x:f>
        <x:v>2</x:v>
      </x:c>
      <x:c r="G46" t="n">
        <x:f>'Katalog kart'!F48</x:f>
        <x:v>4</x:v>
      </x:c>
      <x:c r="H46" s="86" t="n">
        <x:f>IF(Q46="Ofensywny",'Balans — metoda'!$B$11,IF(Q46="Defensywny",0,'Balans — metoda'!$B$11/2))</x:f>
        <x:v>2</x:v>
      </x:c>
      <x:c r="I46" s="86" t="n">
        <x:f>'Balans — metoda'!$B$11-H46</x:f>
        <x:v>0</x:v>
      </x:c>
      <x:c r="J46" s="81" t="n">
        <x:f>F46+H46*'Balans — metoda'!$B$10+U46</x:f>
        <x:v>10</x:v>
      </x:c>
      <x:c r="K46" s="81" t="n">
        <x:f>G46+I46*'Balans — metoda'!$B$10+V46</x:f>
        <x:v>5</x:v>
      </x:c>
      <x:c r="L46" s="104" t="n">
        <x:f>IFERROR(VLOOKUP(C46,'Balans — metoda'!$F$6:$G$10,2,FALSE),0)</x:f>
        <x:v>0.6</x:v>
      </x:c>
      <x:c r="M46" s="86"/>
      <x:c r="N46" s="104" t="str">
        <x:f>IF(ISNUMBER(M46),M46*L46,"")</x:f>
      </x:c>
      <x:c r="O46" s="86" t="str">
        <x:v>Do oceny</x:v>
      </x:c>
      <x:c r="P46" s="86"/>
      <x:c r="Q46" s="146" t="str">
        <x:v>Ofensywny</x:v>
      </x:c>
      <x:c r="R46" t="n">
        <x:f>INT('Balans — metoda'!$B$10/'Balans — metoda'!$B$12)</x:f>
        <x:v>1</x:v>
      </x:c>
      <x:c r="S46" t="str">
        <x:f>IF(OR(D46="Szybki atak",D46="Podwójny atak",D46="Tarcza",D46="Prowokacja"),"Patrz J/K",IF(ISNUMBER(M46),M46+R46,"Do opisania"))</x:f>
        <x:v>Patrz J/K</x:v>
      </x:c>
      <x:c r="T46" t="str">
        <x:v>Bonus statystyk cechy — uwzględniony w J/K</x:v>
      </x:c>
      <x:c r="U46" s="160" t="n">
        <x:f>IFERROR(R46*VLOOKUP(D46,'Premie cech'!$A$6:$C$9,2,FALSE),0)</x:f>
        <x:v>2</x:v>
      </x:c>
      <x:c r="V46" s="160" t="n">
        <x:f>IFERROR(R46*VLOOKUP(D46,'Premie cech'!$A$6:$C$9,3,FALSE),0)</x:f>
        <x:v>1</x:v>
      </x:c>
      <x:c r="W46" s="91" t="str">
        <x:v>Co 3 własne tury na ręce: dodatkowo +2 ATK oraz +1 MAX HP.</x:v>
      </x:c>
    </x:row>
    <x:row r="47" ht="23" customHeight="1">
      <x:c r="A47" t="str">
        <x:f>'Katalog kart'!A49</x:f>
        <x:v>S91</x:v>
      </x:c>
      <x:c r="B47" t="str">
        <x:f>'Katalog kart'!M49</x:f>
        <x:v>Potwory</x:v>
      </x:c>
      <x:c r="C47" t="str">
        <x:f>'Katalog kart'!B49</x:f>
        <x:v>Przy śmierci</x:v>
      </x:c>
      <x:c r="D47" t="str">
        <x:f>'Katalog kart'!C49</x:f>
        <x:v>Podwójny atak</x:v>
      </x:c>
      <x:c r="E47" t="str">
        <x:f>'Katalog kart'!D49</x:f>
        <x:v>Dwuszczęki Horror</x:v>
      </x:c>
      <x:c r="F47" t="n">
        <x:f>'Katalog kart'!E49</x:f>
        <x:v>1</x:v>
      </x:c>
      <x:c r="G47" t="n">
        <x:f>'Katalog kart'!F49</x:f>
        <x:v>5</x:v>
      </x:c>
      <x:c r="H47" s="86" t="n">
        <x:f>IF(Q47="Ofensywny",'Balans — metoda'!$B$11,IF(Q47="Defensywny",0,'Balans — metoda'!$B$11/2))</x:f>
        <x:v>2</x:v>
      </x:c>
      <x:c r="I47" s="86" t="n">
        <x:f>'Balans — metoda'!$B$11-H47</x:f>
        <x:v>0</x:v>
      </x:c>
      <x:c r="J47" s="81" t="n">
        <x:f>F47+H47*'Balans — metoda'!$B$10+U47</x:f>
        <x:v>9</x:v>
      </x:c>
      <x:c r="K47" s="81" t="n">
        <x:f>G47+I47*'Balans — metoda'!$B$10+V47</x:f>
        <x:v>5</x:v>
      </x:c>
      <x:c r="L47" s="104" t="n">
        <x:f>IFERROR(VLOOKUP(C47,'Balans — metoda'!$F$6:$G$10,2,FALSE),0)</x:f>
        <x:v>0.6</x:v>
      </x:c>
      <x:c r="M47" s="86"/>
      <x:c r="N47" s="104" t="str">
        <x:f>IF(ISNUMBER(M47),M47*L47,"")</x:f>
      </x:c>
      <x:c r="O47" s="86" t="str">
        <x:v>Do oceny</x:v>
      </x:c>
      <x:c r="P47" s="86"/>
      <x:c r="Q47" s="146" t="str">
        <x:v>Ofensywny</x:v>
      </x:c>
      <x:c r="R47" t="n">
        <x:f>INT('Balans — metoda'!$B$10/'Balans — metoda'!$B$12)</x:f>
        <x:v>1</x:v>
      </x:c>
      <x:c r="S47" t="str">
        <x:f>IF(OR(D47="Szybki atak",D47="Podwójny atak",D47="Tarcza",D47="Prowokacja"),"Patrz J/K",IF(ISNUMBER(M47),M47+R47,"Do opisania"))</x:f>
        <x:v>Patrz J/K</x:v>
      </x:c>
      <x:c r="T47" t="str">
        <x:v>Bonus statystyk cechy — uwzględniony w J/K</x:v>
      </x:c>
      <x:c r="U47" s="160" t="n">
        <x:f>IFERROR(R47*VLOOKUP(D47,'Premie cech'!$A$6:$C$9,2,FALSE),0)</x:f>
        <x:v>2</x:v>
      </x:c>
      <x:c r="V47" s="160" t="n">
        <x:f>IFERROR(R47*VLOOKUP(D47,'Premie cech'!$A$6:$C$9,3,FALSE),0)</x:f>
        <x:v>0</x:v>
      </x:c>
      <x:c r="W47" s="91" t="str">
        <x:v>Co 3 własne tury na ręce: dodatkowo +2 ATK.</x:v>
      </x:c>
    </x:row>
    <x:row r="48" ht="23" customHeight="1">
      <x:c r="A48" t="str">
        <x:f>'Katalog kart'!A50</x:f>
        <x:v>S27</x:v>
      </x:c>
      <x:c r="B48" t="str">
        <x:f>'Katalog kart'!M50</x:f>
        <x:v>Krasnoludy</x:v>
      </x:c>
      <x:c r="C48" t="str">
        <x:f>'Katalog kart'!B50</x:f>
        <x:v>Na koniec tury</x:v>
      </x:c>
      <x:c r="D48" t="str">
        <x:f>'Katalog kart'!C50</x:f>
        <x:v>Obrażenia</x:v>
      </x:c>
      <x:c r="E48" t="str">
        <x:f>'Katalog kart'!D50</x:f>
        <x:v>Kusznik Runiczny</x:v>
      </x:c>
      <x:c r="F48" t="n">
        <x:f>'Katalog kart'!E50</x:f>
        <x:v>1</x:v>
      </x:c>
      <x:c r="G48" t="n">
        <x:f>'Katalog kart'!F50</x:f>
        <x:v>6</x:v>
      </x:c>
      <x:c r="H48" s="86" t="n">
        <x:f>IF(Q48="Ofensywny",'Balans — metoda'!$B$11,IF(Q48="Defensywny",0,'Balans — metoda'!$B$11/2))</x:f>
        <x:v>1</x:v>
      </x:c>
      <x:c r="I48" s="86" t="n">
        <x:f>'Balans — metoda'!$B$11-H48</x:f>
        <x:v>1</x:v>
      </x:c>
      <x:c r="J48" s="81" t="n">
        <x:f>F48+H48*'Balans — metoda'!$B$10+U48</x:f>
        <x:v>4</x:v>
      </x:c>
      <x:c r="K48" s="81" t="n">
        <x:f>G48+I48*'Balans — metoda'!$B$10+V48</x:f>
        <x:v>9</x:v>
      </x:c>
      <x:c r="L48" s="104" t="n">
        <x:f>IFERROR(VLOOKUP(C48,'Balans — metoda'!$F$6:$G$10,2,FALSE),0)</x:f>
        <x:v>2.5</x:v>
      </x:c>
      <x:c r="M48" s="86"/>
      <x:c r="N48" s="104" t="str">
        <x:f>IF(ISNUMBER(M48),M48*L48,"")</x:f>
      </x:c>
      <x:c r="O48" s="86" t="str">
        <x:v>Do oceny</x:v>
      </x:c>
      <x:c r="P48" s="86"/>
      <x:c r="Q48" s="146" t="str">
        <x:v>Zrównoważony</x:v>
      </x:c>
      <x:c r="R48" t="n">
        <x:f>INT('Balans — metoda'!$B$10/'Balans — metoda'!$B$12)</x:f>
        <x:v>1</x:v>
      </x:c>
      <x:c r="S48" t="str">
        <x:f>IF(OR(D48="Szybki atak",D48="Podwójny atak",D48="Tarcza",D48="Prowokacja"),"Patrz J/K",IF(ISNUMBER(M48),M48+R48,"Do opisania"))</x:f>
        <x:v>Do opisania</x:v>
      </x:c>
      <x:c r="T48" t="str">
        <x:v>Efekt liczbowy — proponuj +1 mocy na poziom</x:v>
      </x:c>
      <x:c r="U48" s="160" t="n">
        <x:f>IFERROR(R48*VLOOKUP(D48,'Premie cech'!$A$6:$C$9,2,FALSE),0)</x:f>
        <x:v>0</x:v>
      </x:c>
      <x:c r="V48" s="160" t="n">
        <x:f>IFERROR(R48*VLOOKUP(D48,'Premie cech'!$A$6:$C$9,3,FALSE),0)</x:f>
        <x:v>0</x:v>
      </x:c>
      <x:c r="W48" s="91"/>
    </x:row>
    <x:row r="49" ht="23" customHeight="1">
      <x:c r="A49" t="str">
        <x:f>'Katalog kart'!A51</x:f>
        <x:v>S25</x:v>
      </x:c>
      <x:c r="B49" t="str">
        <x:f>'Katalog kart'!M51</x:f>
        <x:v>Krasnoludy</x:v>
      </x:c>
      <x:c r="C49" t="str">
        <x:f>'Katalog kart'!B51</x:f>
        <x:v>Na koniec tury</x:v>
      </x:c>
      <x:c r="D49" t="str">
        <x:f>'Katalog kart'!C51</x:f>
        <x:v>Leczenie</x:v>
      </x:c>
      <x:c r="E49" t="str">
        <x:f>'Katalog kart'!D51</x:f>
        <x:v>Medyk Górniczy</x:v>
      </x:c>
      <x:c r="F49" t="n">
        <x:f>'Katalog kart'!E51</x:f>
        <x:v>2</x:v>
      </x:c>
      <x:c r="G49" t="n">
        <x:f>'Katalog kart'!F51</x:f>
        <x:v>7</x:v>
      </x:c>
      <x:c r="H49" s="86" t="n">
        <x:f>IF(Q49="Ofensywny",'Balans — metoda'!$B$11,IF(Q49="Defensywny",0,'Balans — metoda'!$B$11/2))</x:f>
        <x:v>0</x:v>
      </x:c>
      <x:c r="I49" s="86" t="n">
        <x:f>'Balans — metoda'!$B$11-H49</x:f>
        <x:v>2</x:v>
      </x:c>
      <x:c r="J49" s="81" t="n">
        <x:f>F49+H49*'Balans — metoda'!$B$10+U49</x:f>
        <x:v>2</x:v>
      </x:c>
      <x:c r="K49" s="81" t="n">
        <x:f>G49+I49*'Balans — metoda'!$B$10+V49</x:f>
        <x:v>13</x:v>
      </x:c>
      <x:c r="L49" s="104" t="n">
        <x:f>IFERROR(VLOOKUP(C49,'Balans — metoda'!$F$6:$G$10,2,FALSE),0)</x:f>
        <x:v>2.5</x:v>
      </x:c>
      <x:c r="M49" s="86"/>
      <x:c r="N49" s="104" t="str">
        <x:f>IF(ISNUMBER(M49),M49*L49,"")</x:f>
      </x:c>
      <x:c r="O49" s="86" t="str">
        <x:v>Do oceny</x:v>
      </x:c>
      <x:c r="P49" s="86"/>
      <x:c r="Q49" s="146" t="str">
        <x:v>Defensywny</x:v>
      </x:c>
      <x:c r="R49" t="n">
        <x:f>INT('Balans — metoda'!$B$10/'Balans — metoda'!$B$12)</x:f>
        <x:v>1</x:v>
      </x:c>
      <x:c r="S49" t="str">
        <x:f>IF(OR(D49="Szybki atak",D49="Podwójny atak",D49="Tarcza",D49="Prowokacja"),"Patrz J/K",IF(ISNUMBER(M49),M49+R49,"Do opisania"))</x:f>
        <x:v>Do opisania</x:v>
      </x:c>
      <x:c r="T49" t="str">
        <x:v>Efekt liczbowy — proponuj +1 mocy na poziom</x:v>
      </x:c>
      <x:c r="U49" s="160" t="n">
        <x:f>IFERROR(R49*VLOOKUP(D49,'Premie cech'!$A$6:$C$9,2,FALSE),0)</x:f>
        <x:v>0</x:v>
      </x:c>
      <x:c r="V49" s="160" t="n">
        <x:f>IFERROR(R49*VLOOKUP(D49,'Premie cech'!$A$6:$C$9,3,FALSE),0)</x:f>
        <x:v>0</x:v>
      </x:c>
      <x:c r="W49" s="91"/>
    </x:row>
    <x:row r="50" ht="23" customHeight="1">
      <x:c r="A50" t="str">
        <x:f>'Katalog kart'!A52</x:f>
        <x:v>S28</x:v>
      </x:c>
      <x:c r="B50" t="str">
        <x:f>'Katalog kart'!M52</x:f>
        <x:v>Krasnoludy</x:v>
      </x:c>
      <x:c r="C50" t="str">
        <x:f>'Katalog kart'!B52</x:f>
        <x:v>Na koniec tury</x:v>
      </x:c>
      <x:c r="D50" t="str">
        <x:f>'Katalog kart'!C52</x:f>
        <x:v>ATK ±</x:v>
      </x:c>
      <x:c r="E50" t="str">
        <x:f>'Katalog kart'!D52</x:f>
        <x:v>Mistrz Run Bitewnych</x:v>
      </x:c>
      <x:c r="F50" t="n">
        <x:f>'Katalog kart'!E52</x:f>
        <x:v>1</x:v>
      </x:c>
      <x:c r="G50" t="n">
        <x:f>'Katalog kart'!F52</x:f>
        <x:v>5</x:v>
      </x:c>
      <x:c r="H50" s="86" t="n">
        <x:f>IF(Q50="Ofensywny",'Balans — metoda'!$B$11,IF(Q50="Defensywny",0,'Balans — metoda'!$B$11/2))</x:f>
        <x:v>2</x:v>
      </x:c>
      <x:c r="I50" s="86" t="n">
        <x:f>'Balans — metoda'!$B$11-H50</x:f>
        <x:v>0</x:v>
      </x:c>
      <x:c r="J50" s="81" t="n">
        <x:f>F50+H50*'Balans — metoda'!$B$10+U50</x:f>
        <x:v>7</x:v>
      </x:c>
      <x:c r="K50" s="81" t="n">
        <x:f>G50+I50*'Balans — metoda'!$B$10+V50</x:f>
        <x:v>5</x:v>
      </x:c>
      <x:c r="L50" s="104" t="n">
        <x:f>IFERROR(VLOOKUP(C50,'Balans — metoda'!$F$6:$G$10,2,FALSE),0)</x:f>
        <x:v>2.5</x:v>
      </x:c>
      <x:c r="M50" s="86"/>
      <x:c r="N50" s="104" t="str">
        <x:f>IF(ISNUMBER(M50),M50*L50,"")</x:f>
      </x:c>
      <x:c r="O50" s="86" t="str">
        <x:v>Do oceny</x:v>
      </x:c>
      <x:c r="P50" s="86"/>
      <x:c r="Q50" s="146" t="str">
        <x:v>Ofensywny</x:v>
      </x:c>
      <x:c r="R50" t="n">
        <x:f>INT('Balans — metoda'!$B$10/'Balans — metoda'!$B$12)</x:f>
        <x:v>1</x:v>
      </x:c>
      <x:c r="S50" t="str">
        <x:f>IF(OR(D50="Szybki atak",D50="Podwójny atak",D50="Tarcza",D50="Prowokacja"),"Patrz J/K",IF(ISNUMBER(M50),M50+R50,"Do opisania"))</x:f>
        <x:v>Do opisania</x:v>
      </x:c>
      <x:c r="T50" t="str">
        <x:v>Efekt liczbowy — proponuj +1 mocy na poziom</x:v>
      </x:c>
      <x:c r="U50" s="160" t="n">
        <x:f>IFERROR(R50*VLOOKUP(D50,'Premie cech'!$A$6:$C$9,2,FALSE),0)</x:f>
        <x:v>0</x:v>
      </x:c>
      <x:c r="V50" s="160" t="n">
        <x:f>IFERROR(R50*VLOOKUP(D50,'Premie cech'!$A$6:$C$9,3,FALSE),0)</x:f>
        <x:v>0</x:v>
      </x:c>
      <x:c r="W50" s="91"/>
    </x:row>
    <x:row r="51" ht="23" customHeight="1">
      <x:c r="A51" t="str">
        <x:f>'Katalog kart'!A53</x:f>
        <x:v>S93</x:v>
      </x:c>
      <x:c r="B51" t="str">
        <x:f>'Katalog kart'!M53</x:f>
        <x:v>Krasnoludy</x:v>
      </x:c>
      <x:c r="C51" t="str">
        <x:f>'Katalog kart'!B53</x:f>
        <x:v>Na koniec tury</x:v>
      </x:c>
      <x:c r="D51" t="str">
        <x:f>'Katalog kart'!C53</x:f>
        <x:v>MAX HP ±</x:v>
      </x:c>
      <x:c r="E51" t="str">
        <x:f>'Katalog kart'!D53</x:f>
        <x:v>Kowal Życiostali</x:v>
      </x:c>
      <x:c r="F51" t="n">
        <x:f>'Katalog kart'!E53</x:f>
        <x:v>3</x:v>
      </x:c>
      <x:c r="G51" t="n">
        <x:f>'Katalog kart'!F53</x:f>
        <x:v>6</x:v>
      </x:c>
      <x:c r="H51" s="86" t="n">
        <x:f>IF(Q51="Ofensywny",'Balans — metoda'!$B$11,IF(Q51="Defensywny",0,'Balans — metoda'!$B$11/2))</x:f>
        <x:v>0</x:v>
      </x:c>
      <x:c r="I51" s="86" t="n">
        <x:f>'Balans — metoda'!$B$11-H51</x:f>
        <x:v>2</x:v>
      </x:c>
      <x:c r="J51" s="81" t="n">
        <x:f>F51+H51*'Balans — metoda'!$B$10+U51</x:f>
        <x:v>3</x:v>
      </x:c>
      <x:c r="K51" s="81" t="n">
        <x:f>G51+I51*'Balans — metoda'!$B$10+V51</x:f>
        <x:v>12</x:v>
      </x:c>
      <x:c r="L51" s="104" t="n">
        <x:f>IFERROR(VLOOKUP(C51,'Balans — metoda'!$F$6:$G$10,2,FALSE),0)</x:f>
        <x:v>2.5</x:v>
      </x:c>
      <x:c r="M51" s="86"/>
      <x:c r="N51" s="104" t="str">
        <x:f>IF(ISNUMBER(M51),M51*L51,"")</x:f>
      </x:c>
      <x:c r="O51" s="86" t="str">
        <x:v>Do oceny</x:v>
      </x:c>
      <x:c r="P51" s="86"/>
      <x:c r="Q51" s="146" t="str">
        <x:v>Defensywny</x:v>
      </x:c>
      <x:c r="R51" t="n">
        <x:f>INT('Balans — metoda'!$B$10/'Balans — metoda'!$B$12)</x:f>
        <x:v>1</x:v>
      </x:c>
      <x:c r="S51" t="str">
        <x:f>IF(OR(D51="Szybki atak",D51="Podwójny atak",D51="Tarcza",D51="Prowokacja"),"Patrz J/K",IF(ISNUMBER(M51),M51+R51,"Do opisania"))</x:f>
        <x:v>Do opisania</x:v>
      </x:c>
      <x:c r="T51" t="str">
        <x:v>Efekt liczbowy — proponuj +1 mocy na poziom</x:v>
      </x:c>
      <x:c r="U51" s="160" t="n">
        <x:f>IFERROR(R51*VLOOKUP(D51,'Premie cech'!$A$6:$C$9,2,FALSE),0)</x:f>
        <x:v>0</x:v>
      </x:c>
      <x:c r="V51" s="160" t="n">
        <x:f>IFERROR(R51*VLOOKUP(D51,'Premie cech'!$A$6:$C$9,3,FALSE),0)</x:f>
        <x:v>0</x:v>
      </x:c>
      <x:c r="W51" s="91"/>
    </x:row>
    <x:row r="52" ht="23" customHeight="1">
      <x:c r="A52" t="str">
        <x:f>'Katalog kart'!A54</x:f>
        <x:v>S26</x:v>
      </x:c>
      <x:c r="B52" t="str">
        <x:f>'Katalog kart'!M54</x:f>
        <x:v>Krasnoludy</x:v>
      </x:c>
      <x:c r="C52" t="str">
        <x:f>'Katalog kart'!B54</x:f>
        <x:v>Na koniec tury</x:v>
      </x:c>
      <x:c r="D52" t="str">
        <x:f>'Katalog kart'!C54</x:f>
        <x:v>Pancerz</x:v>
      </x:c>
      <x:c r="E52" t="str">
        <x:f>'Katalog kart'!D54</x:f>
        <x:v>Kowal Żelaznej Kuźni</x:v>
      </x:c>
      <x:c r="F52" t="n">
        <x:f>'Katalog kart'!E54</x:f>
        <x:v>2</x:v>
      </x:c>
      <x:c r="G52" t="n">
        <x:f>'Katalog kart'!F54</x:f>
        <x:v>6</x:v>
      </x:c>
      <x:c r="H52" s="86" t="n">
        <x:f>IF(Q52="Ofensywny",'Balans — metoda'!$B$11,IF(Q52="Defensywny",0,'Balans — metoda'!$B$11/2))</x:f>
        <x:v>0</x:v>
      </x:c>
      <x:c r="I52" s="86" t="n">
        <x:f>'Balans — metoda'!$B$11-H52</x:f>
        <x:v>2</x:v>
      </x:c>
      <x:c r="J52" s="81" t="n">
        <x:f>F52+H52*'Balans — metoda'!$B$10+U52</x:f>
        <x:v>2</x:v>
      </x:c>
      <x:c r="K52" s="81" t="n">
        <x:f>G52+I52*'Balans — metoda'!$B$10+V52</x:f>
        <x:v>12</x:v>
      </x:c>
      <x:c r="L52" s="104" t="n">
        <x:f>IFERROR(VLOOKUP(C52,'Balans — metoda'!$F$6:$G$10,2,FALSE),0)</x:f>
        <x:v>2.5</x:v>
      </x:c>
      <x:c r="M52" s="86"/>
      <x:c r="N52" s="104" t="str">
        <x:f>IF(ISNUMBER(M52),M52*L52,"")</x:f>
      </x:c>
      <x:c r="O52" s="86" t="str">
        <x:v>Do oceny</x:v>
      </x:c>
      <x:c r="P52" s="86"/>
      <x:c r="Q52" s="146" t="str">
        <x:v>Defensywny</x:v>
      </x:c>
      <x:c r="R52" t="n">
        <x:f>INT('Balans — metoda'!$B$10/'Balans — metoda'!$B$12)</x:f>
        <x:v>1</x:v>
      </x:c>
      <x:c r="S52" t="str">
        <x:f>IF(OR(D52="Szybki atak",D52="Podwójny atak",D52="Tarcza",D52="Prowokacja"),"Patrz J/K",IF(ISNUMBER(M52),M52+R52,"Do opisania"))</x:f>
        <x:v>Do opisania</x:v>
      </x:c>
      <x:c r="T52" t="str">
        <x:v>Efekt liczbowy — proponuj +1 mocy na poziom</x:v>
      </x:c>
      <x:c r="U52" s="160" t="n">
        <x:f>IFERROR(R52*VLOOKUP(D52,'Premie cech'!$A$6:$C$9,2,FALSE),0)</x:f>
        <x:v>0</x:v>
      </x:c>
      <x:c r="V52" s="160" t="n">
        <x:f>IFERROR(R52*VLOOKUP(D52,'Premie cech'!$A$6:$C$9,3,FALSE),0)</x:f>
        <x:v>0</x:v>
      </x:c>
      <x:c r="W52" s="91"/>
    </x:row>
    <x:row r="53" ht="23" customHeight="1">
      <x:c r="A53" t="str">
        <x:f>'Katalog kart'!A55</x:f>
        <x:v>S94</x:v>
      </x:c>
      <x:c r="B53" t="str">
        <x:f>'Katalog kart'!M55</x:f>
        <x:v>Krasnoludy</x:v>
      </x:c>
      <x:c r="C53" t="str">
        <x:f>'Katalog kart'!B55</x:f>
        <x:v>Na koniec tury</x:v>
      </x:c>
      <x:c r="D53" t="str">
        <x:f>'Katalog kart'!C55</x:f>
        <x:v>Tarcza</x:v>
      </x:c>
      <x:c r="E53" t="str">
        <x:f>'Katalog kart'!D55</x:f>
        <x:v>Mistrz Tarczy</x:v>
      </x:c>
      <x:c r="F53" t="n">
        <x:f>'Katalog kart'!E55</x:f>
        <x:v>1</x:v>
      </x:c>
      <x:c r="G53" t="n">
        <x:f>'Katalog kart'!F55</x:f>
        <x:v>8</x:v>
      </x:c>
      <x:c r="H53" s="86" t="n">
        <x:f>IF(Q53="Ofensywny",'Balans — metoda'!$B$11,IF(Q53="Defensywny",0,'Balans — metoda'!$B$11/2))</x:f>
        <x:v>0</x:v>
      </x:c>
      <x:c r="I53" s="86" t="n">
        <x:f>'Balans — metoda'!$B$11-H53</x:f>
        <x:v>2</x:v>
      </x:c>
      <x:c r="J53" s="81" t="n">
        <x:f>F53+H53*'Balans — metoda'!$B$10+U53</x:f>
        <x:v>1</x:v>
      </x:c>
      <x:c r="K53" s="81" t="n">
        <x:f>G53+I53*'Balans — metoda'!$B$10+V53</x:f>
        <x:v>17</x:v>
      </x:c>
      <x:c r="L53" s="104" t="n">
        <x:f>IFERROR(VLOOKUP(C53,'Balans — metoda'!$F$6:$G$10,2,FALSE),0)</x:f>
        <x:v>2.5</x:v>
      </x:c>
      <x:c r="M53" s="86"/>
      <x:c r="N53" s="104" t="str">
        <x:f>IF(ISNUMBER(M53),M53*L53,"")</x:f>
      </x:c>
      <x:c r="O53" s="86" t="str">
        <x:v>Do oceny</x:v>
      </x:c>
      <x:c r="P53" s="86"/>
      <x:c r="Q53" s="146" t="str">
        <x:v>Defensywny</x:v>
      </x:c>
      <x:c r="R53" t="n">
        <x:f>INT('Balans — metoda'!$B$10/'Balans — metoda'!$B$12)</x:f>
        <x:v>1</x:v>
      </x:c>
      <x:c r="S53" t="str">
        <x:f>IF(OR(D53="Szybki atak",D53="Podwójny atak",D53="Tarcza",D53="Prowokacja"),"Patrz J/K",IF(ISNUMBER(M53),M53+R53,"Do opisania"))</x:f>
        <x:v>Patrz J/K</x:v>
      </x:c>
      <x:c r="T53" t="str">
        <x:v>Bonus statystyk cechy — uwzględniony w J/K</x:v>
      </x:c>
      <x:c r="U53" s="160" t="n">
        <x:f>IFERROR(R53*VLOOKUP(D53,'Premie cech'!$A$6:$C$9,2,FALSE),0)</x:f>
        <x:v>0</x:v>
      </x:c>
      <x:c r="V53" s="160" t="n">
        <x:f>IFERROR(R53*VLOOKUP(D53,'Premie cech'!$A$6:$C$9,3,FALSE),0)</x:f>
        <x:v>3</x:v>
      </x:c>
      <x:c r="W53" s="91" t="str">
        <x:v>Co 3 własne tury na ręce: dodatkowo +3 MAX HP.</x:v>
      </x:c>
    </x:row>
    <x:row r="54" ht="23" customHeight="1">
      <x:c r="A54" t="str">
        <x:f>'Katalog kart'!A56</x:f>
        <x:v>S32</x:v>
      </x:c>
      <x:c r="B54" t="str">
        <x:f>'Katalog kart'!M56</x:f>
        <x:v>Krasnoludy</x:v>
      </x:c>
      <x:c r="C54" t="str">
        <x:f>'Katalog kart'!B56</x:f>
        <x:v>Na koniec tury</x:v>
      </x:c>
      <x:c r="D54" t="str">
        <x:f>'Katalog kart'!C56</x:f>
        <x:v>Trucizna</x:v>
      </x:c>
      <x:c r="E54" t="str">
        <x:f>'Katalog kart'!D56</x:f>
        <x:v>Alchemik Kopalnianych Trucizn</x:v>
      </x:c>
      <x:c r="F54" t="n">
        <x:f>'Katalog kart'!E56</x:f>
        <x:v>1</x:v>
      </x:c>
      <x:c r="G54" t="n">
        <x:f>'Katalog kart'!F56</x:f>
        <x:v>5</x:v>
      </x:c>
      <x:c r="H54" s="86" t="n">
        <x:f>IF(Q54="Ofensywny",'Balans — metoda'!$B$11,IF(Q54="Defensywny",0,'Balans — metoda'!$B$11/2))</x:f>
        <x:v>2</x:v>
      </x:c>
      <x:c r="I54" s="86" t="n">
        <x:f>'Balans — metoda'!$B$11-H54</x:f>
        <x:v>0</x:v>
      </x:c>
      <x:c r="J54" s="81" t="n">
        <x:f>F54+H54*'Balans — metoda'!$B$10+U54</x:f>
        <x:v>7</x:v>
      </x:c>
      <x:c r="K54" s="81" t="n">
        <x:f>G54+I54*'Balans — metoda'!$B$10+V54</x:f>
        <x:v>5</x:v>
      </x:c>
      <x:c r="L54" s="104" t="n">
        <x:f>IFERROR(VLOOKUP(C54,'Balans — metoda'!$F$6:$G$10,2,FALSE),0)</x:f>
        <x:v>2.5</x:v>
      </x:c>
      <x:c r="M54" s="86"/>
      <x:c r="N54" s="104" t="str">
        <x:f>IF(ISNUMBER(M54),M54*L54,"")</x:f>
      </x:c>
      <x:c r="O54" s="86" t="str">
        <x:v>Do oceny</x:v>
      </x:c>
      <x:c r="P54" s="86"/>
      <x:c r="Q54" s="146" t="str">
        <x:v>Ofensywny</x:v>
      </x:c>
      <x:c r="R54" t="n">
        <x:f>INT('Balans — metoda'!$B$10/'Balans — metoda'!$B$12)</x:f>
        <x:v>1</x:v>
      </x:c>
      <x:c r="S54" t="str">
        <x:f>IF(OR(D54="Szybki atak",D54="Podwójny atak",D54="Tarcza",D54="Prowokacja"),"Patrz J/K",IF(ISNUMBER(M54),M54+R54,"Do opisania"))</x:f>
        <x:v>Do opisania</x:v>
      </x:c>
      <x:c r="T54" t="str">
        <x:v>Efekt liczbowy — proponuj +1 mocy na poziom</x:v>
      </x:c>
      <x:c r="U54" s="160" t="n">
        <x:f>IFERROR(R54*VLOOKUP(D54,'Premie cech'!$A$6:$C$9,2,FALSE),0)</x:f>
        <x:v>0</x:v>
      </x:c>
      <x:c r="V54" s="160" t="n">
        <x:f>IFERROR(R54*VLOOKUP(D54,'Premie cech'!$A$6:$C$9,3,FALSE),0)</x:f>
        <x:v>0</x:v>
      </x:c>
      <x:c r="W54" s="91"/>
    </x:row>
    <x:row r="55" ht="23" customHeight="1">
      <x:c r="A55" t="str">
        <x:f>'Katalog kart'!A57</x:f>
        <x:v>S95</x:v>
      </x:c>
      <x:c r="B55" t="str">
        <x:f>'Katalog kart'!M57</x:f>
        <x:v>Krasnoludy</x:v>
      </x:c>
      <x:c r="C55" t="str">
        <x:f>'Katalog kart'!B57</x:f>
        <x:v>Na koniec tury</x:v>
      </x:c>
      <x:c r="D55" t="str">
        <x:f>'Katalog kart'!C57</x:f>
        <x:v>Ogłuszenie</x:v>
      </x:c>
      <x:c r="E55" t="str">
        <x:f>'Katalog kart'!D57</x:f>
        <x:v>Młotnik Wstrząsów</x:v>
      </x:c>
      <x:c r="F55" t="n">
        <x:f>'Katalog kart'!E57</x:f>
        <x:v>1</x:v>
      </x:c>
      <x:c r="G55" t="n">
        <x:f>'Katalog kart'!F57</x:f>
        <x:v>6</x:v>
      </x:c>
      <x:c r="H55" s="86" t="n">
        <x:f>IF(Q55="Ofensywny",'Balans — metoda'!$B$11,IF(Q55="Defensywny",0,'Balans — metoda'!$B$11/2))</x:f>
        <x:v>1</x:v>
      </x:c>
      <x:c r="I55" s="86" t="n">
        <x:f>'Balans — metoda'!$B$11-H55</x:f>
        <x:v>1</x:v>
      </x:c>
      <x:c r="J55" s="81" t="n">
        <x:f>F55+H55*'Balans — metoda'!$B$10+U55</x:f>
        <x:v>4</x:v>
      </x:c>
      <x:c r="K55" s="81" t="n">
        <x:f>G55+I55*'Balans — metoda'!$B$10+V55</x:f>
        <x:v>9</x:v>
      </x:c>
      <x:c r="L55" s="104" t="n">
        <x:f>IFERROR(VLOOKUP(C55,'Balans — metoda'!$F$6:$G$10,2,FALSE),0)</x:f>
        <x:v>2.5</x:v>
      </x:c>
      <x:c r="M55" s="86"/>
      <x:c r="N55" s="104" t="str">
        <x:f>IF(ISNUMBER(M55),M55*L55,"")</x:f>
      </x:c>
      <x:c r="O55" s="86" t="str">
        <x:v>Do oceny</x:v>
      </x:c>
      <x:c r="P55" s="86"/>
      <x:c r="Q55" s="146" t="str">
        <x:v>Zrównoważony</x:v>
      </x:c>
      <x:c r="R55" t="n">
        <x:f>INT('Balans — metoda'!$B$10/'Balans — metoda'!$B$12)</x:f>
        <x:v>1</x:v>
      </x:c>
      <x:c r="S55" t="str">
        <x:f>IF(OR(D55="Szybki atak",D55="Podwójny atak",D55="Tarcza",D55="Prowokacja"),"Patrz J/K",IF(ISNUMBER(M55),M55+R55,"Do opisania"))</x:f>
        <x:v>Do opisania</x:v>
      </x:c>
      <x:c r="T55" t="str">
        <x:v>Efekt jakościowy — określ ulepszenie co 3 tury</x:v>
      </x:c>
      <x:c r="U55" s="160" t="n">
        <x:f>IFERROR(R55*VLOOKUP(D55,'Premie cech'!$A$6:$C$9,2,FALSE),0)</x:f>
        <x:v>0</x:v>
      </x:c>
      <x:c r="V55" s="160" t="n">
        <x:f>IFERROR(R55*VLOOKUP(D55,'Premie cech'!$A$6:$C$9,3,FALSE),0)</x:f>
        <x:v>0</x:v>
      </x:c>
      <x:c r="W55" s="91"/>
    </x:row>
    <x:row r="56" ht="23" customHeight="1">
      <x:c r="A56" t="str">
        <x:f>'Katalog kart'!A58</x:f>
        <x:v>S31</x:v>
      </x:c>
      <x:c r="B56" t="str">
        <x:f>'Katalog kart'!M58</x:f>
        <x:v>Krasnoludy</x:v>
      </x:c>
      <x:c r="C56" t="str">
        <x:f>'Katalog kart'!B58</x:f>
        <x:v>Na koniec tury</x:v>
      </x:c>
      <x:c r="D56" t="str">
        <x:f>'Katalog kart'!C58</x:f>
        <x:v>Regeneracja</x:v>
      </x:c>
      <x:c r="E56" t="str">
        <x:f>'Katalog kart'!D58</x:f>
        <x:v>Znachor Klanowy</x:v>
      </x:c>
      <x:c r="F56" t="n">
        <x:f>'Katalog kart'!E58</x:f>
        <x:v>2</x:v>
      </x:c>
      <x:c r="G56" t="n">
        <x:f>'Katalog kart'!F58</x:f>
        <x:v>6</x:v>
      </x:c>
      <x:c r="H56" s="86" t="n">
        <x:f>IF(Q56="Ofensywny",'Balans — metoda'!$B$11,IF(Q56="Defensywny",0,'Balans — metoda'!$B$11/2))</x:f>
        <x:v>0</x:v>
      </x:c>
      <x:c r="I56" s="86" t="n">
        <x:f>'Balans — metoda'!$B$11-H56</x:f>
        <x:v>2</x:v>
      </x:c>
      <x:c r="J56" s="81" t="n">
        <x:f>F56+H56*'Balans — metoda'!$B$10+U56</x:f>
        <x:v>2</x:v>
      </x:c>
      <x:c r="K56" s="81" t="n">
        <x:f>G56+I56*'Balans — metoda'!$B$10+V56</x:f>
        <x:v>12</x:v>
      </x:c>
      <x:c r="L56" s="104" t="n">
        <x:f>IFERROR(VLOOKUP(C56,'Balans — metoda'!$F$6:$G$10,2,FALSE),0)</x:f>
        <x:v>2.5</x:v>
      </x:c>
      <x:c r="M56" s="86"/>
      <x:c r="N56" s="104" t="str">
        <x:f>IF(ISNUMBER(M56),M56*L56,"")</x:f>
      </x:c>
      <x:c r="O56" s="86" t="str">
        <x:v>Do oceny</x:v>
      </x:c>
      <x:c r="P56" s="86"/>
      <x:c r="Q56" s="146" t="str">
        <x:v>Defensywny</x:v>
      </x:c>
      <x:c r="R56" t="n">
        <x:f>INT('Balans — metoda'!$B$10/'Balans — metoda'!$B$12)</x:f>
        <x:v>1</x:v>
      </x:c>
      <x:c r="S56" t="str">
        <x:f>IF(OR(D56="Szybki atak",D56="Podwójny atak",D56="Tarcza",D56="Prowokacja"),"Patrz J/K",IF(ISNUMBER(M56),M56+R56,"Do opisania"))</x:f>
        <x:v>Do opisania</x:v>
      </x:c>
      <x:c r="T56" t="str">
        <x:v>Efekt liczbowy — proponuj +1 mocy na poziom</x:v>
      </x:c>
      <x:c r="U56" s="160" t="n">
        <x:f>IFERROR(R56*VLOOKUP(D56,'Premie cech'!$A$6:$C$9,2,FALSE),0)</x:f>
        <x:v>0</x:v>
      </x:c>
      <x:c r="V56" s="160" t="n">
        <x:f>IFERROR(R56*VLOOKUP(D56,'Premie cech'!$A$6:$C$9,3,FALSE),0)</x:f>
        <x:v>0</x:v>
      </x:c>
      <x:c r="W56" s="91"/>
    </x:row>
    <x:row r="57" ht="23" customHeight="1">
      <x:c r="A57" t="str">
        <x:f>'Katalog kart'!A59</x:f>
        <x:v>S96</x:v>
      </x:c>
      <x:c r="B57" t="str">
        <x:f>'Katalog kart'!M59</x:f>
        <x:v>Krasnoludy</x:v>
      </x:c>
      <x:c r="C57" t="str">
        <x:f>'Katalog kart'!B59</x:f>
        <x:v>Na koniec tury</x:v>
      </x:c>
      <x:c r="D57" t="str">
        <x:f>'Katalog kart'!C59</x:f>
        <x:v>Prowokacja</x:v>
      </x:c>
      <x:c r="E57" t="str">
        <x:f>'Katalog kart'!D59</x:f>
        <x:v>Wartownik Szybu</x:v>
      </x:c>
      <x:c r="F57" t="n">
        <x:f>'Katalog kart'!E59</x:f>
        <x:v>2</x:v>
      </x:c>
      <x:c r="G57" t="n">
        <x:f>'Katalog kart'!F59</x:f>
        <x:v>8</x:v>
      </x:c>
      <x:c r="H57" s="86" t="n">
        <x:f>IF(Q57="Ofensywny",'Balans — metoda'!$B$11,IF(Q57="Defensywny",0,'Balans — metoda'!$B$11/2))</x:f>
        <x:v>0</x:v>
      </x:c>
      <x:c r="I57" s="86" t="n">
        <x:f>'Balans — metoda'!$B$11-H57</x:f>
        <x:v>2</x:v>
      </x:c>
      <x:c r="J57" s="81" t="n">
        <x:f>F57+H57*'Balans — metoda'!$B$10+U57</x:f>
        <x:v>2</x:v>
      </x:c>
      <x:c r="K57" s="81" t="n">
        <x:f>G57+I57*'Balans — metoda'!$B$10+V57</x:f>
        <x:v>17</x:v>
      </x:c>
      <x:c r="L57" s="104" t="n">
        <x:f>IFERROR(VLOOKUP(C57,'Balans — metoda'!$F$6:$G$10,2,FALSE),0)</x:f>
        <x:v>2.5</x:v>
      </x:c>
      <x:c r="M57" s="86"/>
      <x:c r="N57" s="104" t="str">
        <x:f>IF(ISNUMBER(M57),M57*L57,"")</x:f>
      </x:c>
      <x:c r="O57" s="86" t="str">
        <x:v>Do oceny</x:v>
      </x:c>
      <x:c r="P57" s="86"/>
      <x:c r="Q57" s="146" t="str">
        <x:v>Defensywny</x:v>
      </x:c>
      <x:c r="R57" t="n">
        <x:f>INT('Balans — metoda'!$B$10/'Balans — metoda'!$B$12)</x:f>
        <x:v>1</x:v>
      </x:c>
      <x:c r="S57" t="str">
        <x:f>IF(OR(D57="Szybki atak",D57="Podwójny atak",D57="Tarcza",D57="Prowokacja"),"Patrz J/K",IF(ISNUMBER(M57),M57+R57,"Do opisania"))</x:f>
        <x:v>Patrz J/K</x:v>
      </x:c>
      <x:c r="T57" t="str">
        <x:v>Bonus statystyk cechy — uwzględniony w J/K</x:v>
      </x:c>
      <x:c r="U57" s="160" t="n">
        <x:f>IFERROR(R57*VLOOKUP(D57,'Premie cech'!$A$6:$C$9,2,FALSE),0)</x:f>
        <x:v>0</x:v>
      </x:c>
      <x:c r="V57" s="160" t="n">
        <x:f>IFERROR(R57*VLOOKUP(D57,'Premie cech'!$A$6:$C$9,3,FALSE),0)</x:f>
        <x:v>3</x:v>
      </x:c>
      <x:c r="W57" s="91" t="str">
        <x:v>Co 3 własne tury na ręce: dodatkowo +3 MAX HP.</x:v>
      </x:c>
    </x:row>
    <x:row r="58" ht="23" customHeight="1">
      <x:c r="A58" t="str">
        <x:f>'Katalog kart'!A60</x:f>
        <x:v>S97</x:v>
      </x:c>
      <x:c r="B58" t="str">
        <x:f>'Katalog kart'!M60</x:f>
        <x:v>Krasnoludy</x:v>
      </x:c>
      <x:c r="C58" t="str">
        <x:f>'Katalog kart'!B60</x:f>
        <x:v>Na koniec tury</x:v>
      </x:c>
      <x:c r="D58" t="str">
        <x:f>'Katalog kart'!C60</x:f>
        <x:v>Oczyszczanie</x:v>
      </x:c>
      <x:c r="E58" t="str">
        <x:f>'Katalog kart'!D60</x:f>
        <x:v>Czyściciel Run</x:v>
      </x:c>
      <x:c r="F58" t="n">
        <x:f>'Katalog kart'!E60</x:f>
        <x:v>1</x:v>
      </x:c>
      <x:c r="G58" t="n">
        <x:f>'Katalog kart'!F60</x:f>
        <x:v>6</x:v>
      </x:c>
      <x:c r="H58" s="86" t="n">
        <x:f>IF(Q58="Ofensywny",'Balans — metoda'!$B$11,IF(Q58="Defensywny",0,'Balans — metoda'!$B$11/2))</x:f>
        <x:v>1</x:v>
      </x:c>
      <x:c r="I58" s="86" t="n">
        <x:f>'Balans — metoda'!$B$11-H58</x:f>
        <x:v>1</x:v>
      </x:c>
      <x:c r="J58" s="81" t="n">
        <x:f>F58+H58*'Balans — metoda'!$B$10+U58</x:f>
        <x:v>4</x:v>
      </x:c>
      <x:c r="K58" s="81" t="n">
        <x:f>G58+I58*'Balans — metoda'!$B$10+V58</x:f>
        <x:v>9</x:v>
      </x:c>
      <x:c r="L58" s="104" t="n">
        <x:f>IFERROR(VLOOKUP(C58,'Balans — metoda'!$F$6:$G$10,2,FALSE),0)</x:f>
        <x:v>2.5</x:v>
      </x:c>
      <x:c r="M58" s="86"/>
      <x:c r="N58" s="104" t="str">
        <x:f>IF(ISNUMBER(M58),M58*L58,"")</x:f>
      </x:c>
      <x:c r="O58" s="86" t="str">
        <x:v>Do oceny</x:v>
      </x:c>
      <x:c r="P58" s="86"/>
      <x:c r="Q58" s="146" t="str">
        <x:v>Zrównoważony</x:v>
      </x:c>
      <x:c r="R58" t="n">
        <x:f>INT('Balans — metoda'!$B$10/'Balans — metoda'!$B$12)</x:f>
        <x:v>1</x:v>
      </x:c>
      <x:c r="S58" t="str">
        <x:f>IF(OR(D58="Szybki atak",D58="Podwójny atak",D58="Tarcza",D58="Prowokacja"),"Patrz J/K",IF(ISNUMBER(M58),M58+R58,"Do opisania"))</x:f>
        <x:v>Do opisania</x:v>
      </x:c>
      <x:c r="T58" t="str">
        <x:v>Efekt jakościowy — określ ulepszenie co 3 tury</x:v>
      </x:c>
      <x:c r="U58" s="160" t="n">
        <x:f>IFERROR(R58*VLOOKUP(D58,'Premie cech'!$A$6:$C$9,2,FALSE),0)</x:f>
        <x:v>0</x:v>
      </x:c>
      <x:c r="V58" s="160" t="n">
        <x:f>IFERROR(R58*VLOOKUP(D58,'Premie cech'!$A$6:$C$9,3,FALSE),0)</x:f>
        <x:v>0</x:v>
      </x:c>
      <x:c r="W58" s="91"/>
    </x:row>
    <x:row r="59" ht="23" customHeight="1">
      <x:c r="A59" t="str">
        <x:f>'Katalog kart'!A61</x:f>
        <x:v>S99</x:v>
      </x:c>
      <x:c r="B59" t="str">
        <x:f>'Katalog kart'!M61</x:f>
        <x:v>Krasnoludy</x:v>
      </x:c>
      <x:c r="C59" t="str">
        <x:f>'Katalog kart'!B61</x:f>
        <x:v>Na koniec tury</x:v>
      </x:c>
      <x:c r="D59" t="str">
        <x:f>'Katalog kart'!C61</x:f>
        <x:v>Odporność</x:v>
      </x:c>
      <x:c r="E59" t="str">
        <x:f>'Katalog kart'!D61</x:f>
        <x:v>Górski Odtruwacz</x:v>
      </x:c>
      <x:c r="F59" t="n">
        <x:f>'Katalog kart'!E61</x:f>
        <x:v>3</x:v>
      </x:c>
      <x:c r="G59" t="n">
        <x:f>'Katalog kart'!F61</x:f>
        <x:v>7</x:v>
      </x:c>
      <x:c r="H59" s="86" t="n">
        <x:f>IF(Q59="Ofensywny",'Balans — metoda'!$B$11,IF(Q59="Defensywny",0,'Balans — metoda'!$B$11/2))</x:f>
        <x:v>0</x:v>
      </x:c>
      <x:c r="I59" s="86" t="n">
        <x:f>'Balans — metoda'!$B$11-H59</x:f>
        <x:v>2</x:v>
      </x:c>
      <x:c r="J59" s="81" t="n">
        <x:f>F59+H59*'Balans — metoda'!$B$10+U59</x:f>
        <x:v>3</x:v>
      </x:c>
      <x:c r="K59" s="81" t="n">
        <x:f>G59+I59*'Balans — metoda'!$B$10+V59</x:f>
        <x:v>13</x:v>
      </x:c>
      <x:c r="L59" s="104" t="n">
        <x:f>IFERROR(VLOOKUP(C59,'Balans — metoda'!$F$6:$G$10,2,FALSE),0)</x:f>
        <x:v>2.5</x:v>
      </x:c>
      <x:c r="M59" s="86"/>
      <x:c r="N59" s="104" t="str">
        <x:f>IF(ISNUMBER(M59),M59*L59,"")</x:f>
      </x:c>
      <x:c r="O59" s="86" t="str">
        <x:v>Do oceny</x:v>
      </x:c>
      <x:c r="P59" s="86"/>
      <x:c r="Q59" s="146" t="str">
        <x:v>Defensywny</x:v>
      </x:c>
      <x:c r="R59" t="n">
        <x:f>INT('Balans — metoda'!$B$10/'Balans — metoda'!$B$12)</x:f>
        <x:v>1</x:v>
      </x:c>
      <x:c r="S59" t="str">
        <x:f>IF(OR(D59="Szybki atak",D59="Podwójny atak",D59="Tarcza",D59="Prowokacja"),"Patrz J/K",IF(ISNUMBER(M59),M59+R59,"Do opisania"))</x:f>
        <x:v>Do opisania</x:v>
      </x:c>
      <x:c r="T59" t="str">
        <x:v>Efekt jakościowy — określ ulepszenie co 3 tury</x:v>
      </x:c>
      <x:c r="U59" s="160" t="n">
        <x:f>IFERROR(R59*VLOOKUP(D59,'Premie cech'!$A$6:$C$9,2,FALSE),0)</x:f>
        <x:v>0</x:v>
      </x:c>
      <x:c r="V59" s="160" t="n">
        <x:f>IFERROR(R59*VLOOKUP(D59,'Premie cech'!$A$6:$C$9,3,FALSE),0)</x:f>
        <x:v>0</x:v>
      </x:c>
      <x:c r="W59" s="91"/>
    </x:row>
    <x:row r="60" ht="23" customHeight="1">
      <x:c r="A60" t="str">
        <x:f>'Katalog kart'!A62</x:f>
        <x:v>S101</x:v>
      </x:c>
      <x:c r="B60" t="str">
        <x:f>'Katalog kart'!M62</x:f>
        <x:v>Krasnoludy</x:v>
      </x:c>
      <x:c r="C60" t="str">
        <x:f>'Katalog kart'!B62</x:f>
        <x:v>Na koniec tury</x:v>
      </x:c>
      <x:c r="D60" t="str">
        <x:f>'Katalog kart'!C62</x:f>
        <x:v>Szybki atak</x:v>
      </x:c>
      <x:c r="E60" t="str">
        <x:f>'Katalog kart'!D62</x:f>
        <x:v>Konstruktor Sprężyn</x:v>
      </x:c>
      <x:c r="F60" t="n">
        <x:f>'Katalog kart'!E62</x:f>
        <x:v>2</x:v>
      </x:c>
      <x:c r="G60" t="n">
        <x:f>'Katalog kart'!F62</x:f>
        <x:v>4</x:v>
      </x:c>
      <x:c r="H60" s="86" t="n">
        <x:f>IF(Q60="Ofensywny",'Balans — metoda'!$B$11,IF(Q60="Defensywny",0,'Balans — metoda'!$B$11/2))</x:f>
        <x:v>2</x:v>
      </x:c>
      <x:c r="I60" s="86" t="n">
        <x:f>'Balans — metoda'!$B$11-H60</x:f>
        <x:v>0</x:v>
      </x:c>
      <x:c r="J60" s="81" t="n">
        <x:f>F60+H60*'Balans — metoda'!$B$10+U60</x:f>
        <x:v>10</x:v>
      </x:c>
      <x:c r="K60" s="81" t="n">
        <x:f>G60+I60*'Balans — metoda'!$B$10+V60</x:f>
        <x:v>5</x:v>
      </x:c>
      <x:c r="L60" s="104" t="n">
        <x:f>IFERROR(VLOOKUP(C60,'Balans — metoda'!$F$6:$G$10,2,FALSE),0)</x:f>
        <x:v>2.5</x:v>
      </x:c>
      <x:c r="M60" s="86"/>
      <x:c r="N60" s="104" t="str">
        <x:f>IF(ISNUMBER(M60),M60*L60,"")</x:f>
      </x:c>
      <x:c r="O60" s="86" t="str">
        <x:v>Do oceny</x:v>
      </x:c>
      <x:c r="P60" s="86"/>
      <x:c r="Q60" s="146" t="str">
        <x:v>Ofensywny</x:v>
      </x:c>
      <x:c r="R60" t="n">
        <x:f>INT('Balans — metoda'!$B$10/'Balans — metoda'!$B$12)</x:f>
        <x:v>1</x:v>
      </x:c>
      <x:c r="S60" t="str">
        <x:f>IF(OR(D60="Szybki atak",D60="Podwójny atak",D60="Tarcza",D60="Prowokacja"),"Patrz J/K",IF(ISNUMBER(M60),M60+R60,"Do opisania"))</x:f>
        <x:v>Patrz J/K</x:v>
      </x:c>
      <x:c r="T60" t="str">
        <x:v>Bonus statystyk cechy — uwzględniony w J/K</x:v>
      </x:c>
      <x:c r="U60" s="160" t="n">
        <x:f>IFERROR(R60*VLOOKUP(D60,'Premie cech'!$A$6:$C$9,2,FALSE),0)</x:f>
        <x:v>2</x:v>
      </x:c>
      <x:c r="V60" s="160" t="n">
        <x:f>IFERROR(R60*VLOOKUP(D60,'Premie cech'!$A$6:$C$9,3,FALSE),0)</x:f>
        <x:v>1</x:v>
      </x:c>
      <x:c r="W60" s="91" t="str">
        <x:v>Co 3 własne tury na ręce: dodatkowo +2 ATK oraz +1 MAX HP.</x:v>
      </x:c>
    </x:row>
    <x:row r="61" ht="23" customHeight="1">
      <x:c r="A61" t="str">
        <x:f>'Katalog kart'!A63</x:f>
        <x:v>S102</x:v>
      </x:c>
      <x:c r="B61" t="str">
        <x:f>'Katalog kart'!M63</x:f>
        <x:v>Krasnoludy</x:v>
      </x:c>
      <x:c r="C61" t="str">
        <x:f>'Katalog kart'!B63</x:f>
        <x:v>Na koniec tury</x:v>
      </x:c>
      <x:c r="D61" t="str">
        <x:f>'Katalog kart'!C63</x:f>
        <x:v>Podwójny atak</x:v>
      </x:c>
      <x:c r="E61" t="str">
        <x:f>'Katalog kart'!D63</x:f>
        <x:v>Mechanik Dwóch Ostrzy</x:v>
      </x:c>
      <x:c r="F61" t="n">
        <x:f>'Katalog kart'!E63</x:f>
        <x:v>1</x:v>
      </x:c>
      <x:c r="G61" t="n">
        <x:f>'Katalog kart'!F63</x:f>
        <x:v>5</x:v>
      </x:c>
      <x:c r="H61" s="86" t="n">
        <x:f>IF(Q61="Ofensywny",'Balans — metoda'!$B$11,IF(Q61="Defensywny",0,'Balans — metoda'!$B$11/2))</x:f>
        <x:v>2</x:v>
      </x:c>
      <x:c r="I61" s="86" t="n">
        <x:f>'Balans — metoda'!$B$11-H61</x:f>
        <x:v>0</x:v>
      </x:c>
      <x:c r="J61" s="81" t="n">
        <x:f>F61+H61*'Balans — metoda'!$B$10+U61</x:f>
        <x:v>9</x:v>
      </x:c>
      <x:c r="K61" s="81" t="n">
        <x:f>G61+I61*'Balans — metoda'!$B$10+V61</x:f>
        <x:v>5</x:v>
      </x:c>
      <x:c r="L61" s="104" t="n">
        <x:f>IFERROR(VLOOKUP(C61,'Balans — metoda'!$F$6:$G$10,2,FALSE),0)</x:f>
        <x:v>2.5</x:v>
      </x:c>
      <x:c r="M61" s="86"/>
      <x:c r="N61" s="104" t="str">
        <x:f>IF(ISNUMBER(M61),M61*L61,"")</x:f>
      </x:c>
      <x:c r="O61" s="86" t="str">
        <x:v>Do oceny</x:v>
      </x:c>
      <x:c r="P61" s="86"/>
      <x:c r="Q61" s="146" t="str">
        <x:v>Ofensywny</x:v>
      </x:c>
      <x:c r="R61" t="n">
        <x:f>INT('Balans — metoda'!$B$10/'Balans — metoda'!$B$12)</x:f>
        <x:v>1</x:v>
      </x:c>
      <x:c r="S61" t="str">
        <x:f>IF(OR(D61="Szybki atak",D61="Podwójny atak",D61="Tarcza",D61="Prowokacja"),"Patrz J/K",IF(ISNUMBER(M61),M61+R61,"Do opisania"))</x:f>
        <x:v>Patrz J/K</x:v>
      </x:c>
      <x:c r="T61" t="str">
        <x:v>Bonus statystyk cechy — uwzględniony w J/K</x:v>
      </x:c>
      <x:c r="U61" s="160" t="n">
        <x:f>IFERROR(R61*VLOOKUP(D61,'Premie cech'!$A$6:$C$9,2,FALSE),0)</x:f>
        <x:v>2</x:v>
      </x:c>
      <x:c r="V61" s="160" t="n">
        <x:f>IFERROR(R61*VLOOKUP(D61,'Premie cech'!$A$6:$C$9,3,FALSE),0)</x:f>
        <x:v>0</x:v>
      </x:c>
      <x:c r="W61" s="91" t="str">
        <x:v>Co 3 własne tury na ręce: dodatkowo +2 ATK.</x:v>
      </x:c>
    </x:row>
    <x:row r="62" ht="23" customHeight="1">
      <x:c r="A62" t="str">
        <x:f>'Katalog kart'!A64</x:f>
        <x:v>S103</x:v>
      </x:c>
      <x:c r="B62" t="str">
        <x:f>'Katalog kart'!M64</x:f>
        <x:v>Ludzie</x:v>
      </x:c>
      <x:c r="C62" t="str">
        <x:f>'Katalog kart'!B64</x:f>
        <x:v>Pasywna</x:v>
      </x:c>
      <x:c r="D62" t="str">
        <x:f>'Katalog kart'!C64</x:f>
        <x:v>Obrażenia</x:v>
      </x:c>
      <x:c r="E62" t="str">
        <x:f>'Katalog kart'!D64</x:f>
        <x:v>Weteran Odwetu</x:v>
      </x:c>
      <x:c r="F62" t="n">
        <x:f>'Katalog kart'!E64</x:f>
        <x:v>4</x:v>
      </x:c>
      <x:c r="G62" t="n">
        <x:f>'Katalog kart'!F64</x:f>
        <x:v>5</x:v>
      </x:c>
      <x:c r="H62" s="86" t="n">
        <x:f>IF(Q62="Ofensywny",'Balans — metoda'!$B$11,IF(Q62="Defensywny",0,'Balans — metoda'!$B$11/2))</x:f>
        <x:v>0</x:v>
      </x:c>
      <x:c r="I62" s="86" t="n">
        <x:f>'Balans — metoda'!$B$11-H62</x:f>
        <x:v>2</x:v>
      </x:c>
      <x:c r="J62" s="81" t="n">
        <x:f>F62+H62*'Balans — metoda'!$B$10+U62</x:f>
        <x:v>4</x:v>
      </x:c>
      <x:c r="K62" s="81" t="n">
        <x:f>G62+I62*'Balans — metoda'!$B$10+V62</x:f>
        <x:v>11</x:v>
      </x:c>
      <x:c r="L62" s="104" t="n">
        <x:f>IFERROR(VLOOKUP(C62,'Balans — metoda'!$F$6:$G$10,2,FALSE),0)</x:f>
        <x:v>3.75</x:v>
      </x:c>
      <x:c r="M62" s="86"/>
      <x:c r="N62" s="104" t="str">
        <x:f>IF(ISNUMBER(M62),M62*L62,"")</x:f>
      </x:c>
      <x:c r="O62" s="86" t="str">
        <x:v>Do oceny</x:v>
      </x:c>
      <x:c r="P62" s="86"/>
      <x:c r="Q62" s="146" t="str">
        <x:v>Defensywny</x:v>
      </x:c>
      <x:c r="R62" t="n">
        <x:f>INT('Balans — metoda'!$B$10/'Balans — metoda'!$B$12)</x:f>
        <x:v>1</x:v>
      </x:c>
      <x:c r="S62" t="str">
        <x:f>IF(OR(D62="Szybki atak",D62="Podwójny atak",D62="Tarcza",D62="Prowokacja"),"Patrz J/K",IF(ISNUMBER(M62),M62+R62,"Do opisania"))</x:f>
        <x:v>Do opisania</x:v>
      </x:c>
      <x:c r="T62" t="str">
        <x:v>Efekt liczbowy — proponuj +1 mocy na poziom</x:v>
      </x:c>
      <x:c r="U62" s="160" t="n">
        <x:f>IFERROR(R62*VLOOKUP(D62,'Premie cech'!$A$6:$C$9,2,FALSE),0)</x:f>
        <x:v>0</x:v>
      </x:c>
      <x:c r="V62" s="160" t="n">
        <x:f>IFERROR(R62*VLOOKUP(D62,'Premie cech'!$A$6:$C$9,3,FALSE),0)</x:f>
        <x:v>0</x:v>
      </x:c>
      <x:c r="W62" s="91"/>
    </x:row>
    <x:row r="63" ht="23" customHeight="1">
      <x:c r="A63" t="str">
        <x:f>'Katalog kart'!A65</x:f>
        <x:v>S104</x:v>
      </x:c>
      <x:c r="B63" t="str">
        <x:f>'Katalog kart'!M65</x:f>
        <x:v>Ludzie</x:v>
      </x:c>
      <x:c r="C63" t="str">
        <x:f>'Katalog kart'!B65</x:f>
        <x:v>Pasywna</x:v>
      </x:c>
      <x:c r="D63" t="str">
        <x:f>'Katalog kart'!C65</x:f>
        <x:v>Leczenie</x:v>
      </x:c>
      <x:c r="E63" t="str">
        <x:f>'Katalog kart'!D65</x:f>
        <x:v>Kapelan Garnizonu</x:v>
      </x:c>
      <x:c r="F63" t="n">
        <x:f>'Katalog kart'!E65</x:f>
        <x:v>4</x:v>
      </x:c>
      <x:c r="G63" t="n">
        <x:f>'Katalog kart'!F65</x:f>
        <x:v>5</x:v>
      </x:c>
      <x:c r="H63" s="86" t="n">
        <x:f>IF(Q63="Ofensywny",'Balans — metoda'!$B$11,IF(Q63="Defensywny",0,'Balans — metoda'!$B$11/2))</x:f>
        <x:v>0</x:v>
      </x:c>
      <x:c r="I63" s="86" t="n">
        <x:f>'Balans — metoda'!$B$11-H63</x:f>
        <x:v>2</x:v>
      </x:c>
      <x:c r="J63" s="81" t="n">
        <x:f>F63+H63*'Balans — metoda'!$B$10+U63</x:f>
        <x:v>4</x:v>
      </x:c>
      <x:c r="K63" s="81" t="n">
        <x:f>G63+I63*'Balans — metoda'!$B$10+V63</x:f>
        <x:v>11</x:v>
      </x:c>
      <x:c r="L63" s="104" t="n">
        <x:f>IFERROR(VLOOKUP(C63,'Balans — metoda'!$F$6:$G$10,2,FALSE),0)</x:f>
        <x:v>3.75</x:v>
      </x:c>
      <x:c r="M63" s="86"/>
      <x:c r="N63" s="104" t="str">
        <x:f>IF(ISNUMBER(M63),M63*L63,"")</x:f>
      </x:c>
      <x:c r="O63" s="86" t="str">
        <x:v>Do oceny</x:v>
      </x:c>
      <x:c r="P63" s="86"/>
      <x:c r="Q63" s="146" t="str">
        <x:v>Defensywny</x:v>
      </x:c>
      <x:c r="R63" t="n">
        <x:f>INT('Balans — metoda'!$B$10/'Balans — metoda'!$B$12)</x:f>
        <x:v>1</x:v>
      </x:c>
      <x:c r="S63" t="str">
        <x:f>IF(OR(D63="Szybki atak",D63="Podwójny atak",D63="Tarcza",D63="Prowokacja"),"Patrz J/K",IF(ISNUMBER(M63),M63+R63,"Do opisania"))</x:f>
        <x:v>Do opisania</x:v>
      </x:c>
      <x:c r="T63" t="str">
        <x:v>Efekt liczbowy — proponuj +1 mocy na poziom</x:v>
      </x:c>
      <x:c r="U63" s="160" t="n">
        <x:f>IFERROR(R63*VLOOKUP(D63,'Premie cech'!$A$6:$C$9,2,FALSE),0)</x:f>
        <x:v>0</x:v>
      </x:c>
      <x:c r="V63" s="160" t="n">
        <x:f>IFERROR(R63*VLOOKUP(D63,'Premie cech'!$A$6:$C$9,3,FALSE),0)</x:f>
        <x:v>0</x:v>
      </x:c>
      <x:c r="W63" s="91"/>
    </x:row>
    <x:row r="64" ht="23" customHeight="1">
      <x:c r="A64" t="str">
        <x:f>'Katalog kart'!A66</x:f>
        <x:v>S34</x:v>
      </x:c>
      <x:c r="B64" t="str">
        <x:f>'Katalog kart'!M66</x:f>
        <x:v>Ludzie</x:v>
      </x:c>
      <x:c r="C64" t="str">
        <x:f>'Katalog kart'!B66</x:f>
        <x:v>Pasywna</x:v>
      </x:c>
      <x:c r="D64" t="str">
        <x:f>'Katalog kart'!C66</x:f>
        <x:v>ATK ±</x:v>
      </x:c>
      <x:c r="E64" t="str">
        <x:f>'Katalog kart'!D66</x:f>
        <x:v>Chorąży Królewskiej Kompanii</x:v>
      </x:c>
      <x:c r="F64" t="n">
        <x:f>'Katalog kart'!E66</x:f>
        <x:v>1</x:v>
      </x:c>
      <x:c r="G64" t="n">
        <x:f>'Katalog kart'!F66</x:f>
        <x:v>6</x:v>
      </x:c>
      <x:c r="H64" s="86" t="n">
        <x:f>IF(Q64="Ofensywny",'Balans — metoda'!$B$11,IF(Q64="Defensywny",0,'Balans — metoda'!$B$11/2))</x:f>
        <x:v>2</x:v>
      </x:c>
      <x:c r="I64" s="86" t="n">
        <x:f>'Balans — metoda'!$B$11-H64</x:f>
        <x:v>0</x:v>
      </x:c>
      <x:c r="J64" s="81" t="n">
        <x:f>F64+H64*'Balans — metoda'!$B$10+U64</x:f>
        <x:v>7</x:v>
      </x:c>
      <x:c r="K64" s="81" t="n">
        <x:f>G64+I64*'Balans — metoda'!$B$10+V64</x:f>
        <x:v>6</x:v>
      </x:c>
      <x:c r="L64" s="104" t="n">
        <x:f>IFERROR(VLOOKUP(C64,'Balans — metoda'!$F$6:$G$10,2,FALSE),0)</x:f>
        <x:v>3.75</x:v>
      </x:c>
      <x:c r="M64" s="86"/>
      <x:c r="N64" s="104" t="str">
        <x:f>IF(ISNUMBER(M64),M64*L64,"")</x:f>
      </x:c>
      <x:c r="O64" s="86" t="str">
        <x:v>Do oceny</x:v>
      </x:c>
      <x:c r="P64" s="86"/>
      <x:c r="Q64" s="146" t="str">
        <x:v>Ofensywny</x:v>
      </x:c>
      <x:c r="R64" t="n">
        <x:f>INT('Balans — metoda'!$B$10/'Balans — metoda'!$B$12)</x:f>
        <x:v>1</x:v>
      </x:c>
      <x:c r="S64" t="str">
        <x:f>IF(OR(D64="Szybki atak",D64="Podwójny atak",D64="Tarcza",D64="Prowokacja"),"Patrz J/K",IF(ISNUMBER(M64),M64+R64,"Do opisania"))</x:f>
        <x:v>Do opisania</x:v>
      </x:c>
      <x:c r="T64" t="str">
        <x:v>Efekt liczbowy — proponuj +1 mocy na poziom</x:v>
      </x:c>
      <x:c r="U64" s="160" t="n">
        <x:f>IFERROR(R64*VLOOKUP(D64,'Premie cech'!$A$6:$C$9,2,FALSE),0)</x:f>
        <x:v>0</x:v>
      </x:c>
      <x:c r="V64" s="160" t="n">
        <x:f>IFERROR(R64*VLOOKUP(D64,'Premie cech'!$A$6:$C$9,3,FALSE),0)</x:f>
        <x:v>0</x:v>
      </x:c>
      <x:c r="W64" s="91"/>
    </x:row>
    <x:row r="65" ht="23" customHeight="1">
      <x:c r="A65" t="str">
        <x:f>'Katalog kart'!A67</x:f>
        <x:v>S35</x:v>
      </x:c>
      <x:c r="B65" t="str">
        <x:f>'Katalog kart'!M67</x:f>
        <x:v>Ludzie</x:v>
      </x:c>
      <x:c r="C65" t="str">
        <x:f>'Katalog kart'!B67</x:f>
        <x:v>Pasywna</x:v>
      </x:c>
      <x:c r="D65" t="str">
        <x:f>'Katalog kart'!C67</x:f>
        <x:v>MAX HP ±</x:v>
      </x:c>
      <x:c r="E65" t="str">
        <x:f>'Katalog kart'!D67</x:f>
        <x:v>Komendant Straży</x:v>
      </x:c>
      <x:c r="F65" t="n">
        <x:f>'Katalog kart'!E67</x:f>
        <x:v>3</x:v>
      </x:c>
      <x:c r="G65" t="n">
        <x:f>'Katalog kart'!F67</x:f>
        <x:v>7</x:v>
      </x:c>
      <x:c r="H65" s="86" t="n">
        <x:f>IF(Q65="Ofensywny",'Balans — metoda'!$B$11,IF(Q65="Defensywny",0,'Balans — metoda'!$B$11/2))</x:f>
        <x:v>0</x:v>
      </x:c>
      <x:c r="I65" s="86" t="n">
        <x:f>'Balans — metoda'!$B$11-H65</x:f>
        <x:v>2</x:v>
      </x:c>
      <x:c r="J65" s="81" t="n">
        <x:f>F65+H65*'Balans — metoda'!$B$10+U65</x:f>
        <x:v>3</x:v>
      </x:c>
      <x:c r="K65" s="81" t="n">
        <x:f>G65+I65*'Balans — metoda'!$B$10+V65</x:f>
        <x:v>13</x:v>
      </x:c>
      <x:c r="L65" s="104" t="n">
        <x:f>IFERROR(VLOOKUP(C65,'Balans — metoda'!$F$6:$G$10,2,FALSE),0)</x:f>
        <x:v>3.75</x:v>
      </x:c>
      <x:c r="M65" s="86"/>
      <x:c r="N65" s="104" t="str">
        <x:f>IF(ISNUMBER(M65),M65*L65,"")</x:f>
      </x:c>
      <x:c r="O65" s="86" t="str">
        <x:v>Do oceny</x:v>
      </x:c>
      <x:c r="P65" s="86"/>
      <x:c r="Q65" s="146" t="str">
        <x:v>Defensywny</x:v>
      </x:c>
      <x:c r="R65" t="n">
        <x:f>INT('Balans — metoda'!$B$10/'Balans — metoda'!$B$12)</x:f>
        <x:v>1</x:v>
      </x:c>
      <x:c r="S65" t="str">
        <x:f>IF(OR(D65="Szybki atak",D65="Podwójny atak",D65="Tarcza",D65="Prowokacja"),"Patrz J/K",IF(ISNUMBER(M65),M65+R65,"Do opisania"))</x:f>
        <x:v>Do opisania</x:v>
      </x:c>
      <x:c r="T65" t="str">
        <x:v>Efekt liczbowy — proponuj +1 mocy na poziom</x:v>
      </x:c>
      <x:c r="U65" s="160" t="n">
        <x:f>IFERROR(R65*VLOOKUP(D65,'Premie cech'!$A$6:$C$9,2,FALSE),0)</x:f>
        <x:v>0</x:v>
      </x:c>
      <x:c r="V65" s="160" t="n">
        <x:f>IFERROR(R65*VLOOKUP(D65,'Premie cech'!$A$6:$C$9,3,FALSE),0)</x:f>
        <x:v>0</x:v>
      </x:c>
      <x:c r="W65" s="91"/>
    </x:row>
    <x:row r="66" ht="23" customHeight="1">
      <x:c r="A66" t="str">
        <x:f>'Katalog kart'!A68</x:f>
        <x:v>S105</x:v>
      </x:c>
      <x:c r="B66" t="str">
        <x:f>'Katalog kart'!M68</x:f>
        <x:v>Ludzie</x:v>
      </x:c>
      <x:c r="C66" t="str">
        <x:f>'Katalog kart'!B68</x:f>
        <x:v>Pasywna</x:v>
      </x:c>
      <x:c r="D66" t="str">
        <x:f>'Katalog kart'!C68</x:f>
        <x:v>Pancerz</x:v>
      </x:c>
      <x:c r="E66" t="str">
        <x:f>'Katalog kart'!D68</x:f>
        <x:v>Zbrojmistrz Garnizonu</x:v>
      </x:c>
      <x:c r="F66" t="n">
        <x:f>'Katalog kart'!E68</x:f>
        <x:v>2</x:v>
      </x:c>
      <x:c r="G66" t="n">
        <x:f>'Katalog kart'!F68</x:f>
        <x:v>7</x:v>
      </x:c>
      <x:c r="H66" s="86" t="n">
        <x:f>IF(Q66="Ofensywny",'Balans — metoda'!$B$11,IF(Q66="Defensywny",0,'Balans — metoda'!$B$11/2))</x:f>
        <x:v>0</x:v>
      </x:c>
      <x:c r="I66" s="86" t="n">
        <x:f>'Balans — metoda'!$B$11-H66</x:f>
        <x:v>2</x:v>
      </x:c>
      <x:c r="J66" s="81" t="n">
        <x:f>F66+H66*'Balans — metoda'!$B$10+U66</x:f>
        <x:v>2</x:v>
      </x:c>
      <x:c r="K66" s="81" t="n">
        <x:f>G66+I66*'Balans — metoda'!$B$10+V66</x:f>
        <x:v>13</x:v>
      </x:c>
      <x:c r="L66" s="104" t="n">
        <x:f>IFERROR(VLOOKUP(C66,'Balans — metoda'!$F$6:$G$10,2,FALSE),0)</x:f>
        <x:v>3.75</x:v>
      </x:c>
      <x:c r="M66" s="86"/>
      <x:c r="N66" s="104" t="str">
        <x:f>IF(ISNUMBER(M66),M66*L66,"")</x:f>
      </x:c>
      <x:c r="O66" s="86" t="str">
        <x:v>Do oceny</x:v>
      </x:c>
      <x:c r="P66" s="86"/>
      <x:c r="Q66" s="146" t="str">
        <x:v>Defensywny</x:v>
      </x:c>
      <x:c r="R66" t="n">
        <x:f>INT('Balans — metoda'!$B$10/'Balans — metoda'!$B$12)</x:f>
        <x:v>1</x:v>
      </x:c>
      <x:c r="S66" t="str">
        <x:f>IF(OR(D66="Szybki atak",D66="Podwójny atak",D66="Tarcza",D66="Prowokacja"),"Patrz J/K",IF(ISNUMBER(M66),M66+R66,"Do opisania"))</x:f>
        <x:v>Do opisania</x:v>
      </x:c>
      <x:c r="T66" t="str">
        <x:v>Efekt liczbowy — proponuj +1 mocy na poziom</x:v>
      </x:c>
      <x:c r="U66" s="160" t="n">
        <x:f>IFERROR(R66*VLOOKUP(D66,'Premie cech'!$A$6:$C$9,2,FALSE),0)</x:f>
        <x:v>0</x:v>
      </x:c>
      <x:c r="V66" s="160" t="n">
        <x:f>IFERROR(R66*VLOOKUP(D66,'Premie cech'!$A$6:$C$9,3,FALSE),0)</x:f>
        <x:v>0</x:v>
      </x:c>
      <x:c r="W66" s="91"/>
    </x:row>
    <x:row r="67" ht="23" customHeight="1">
      <x:c r="A67" t="str">
        <x:f>'Katalog kart'!A69</x:f>
        <x:v>S106</x:v>
      </x:c>
      <x:c r="B67" t="str">
        <x:f>'Katalog kart'!M69</x:f>
        <x:v>Ludzie</x:v>
      </x:c>
      <x:c r="C67" t="str">
        <x:f>'Katalog kart'!B69</x:f>
        <x:v>Pasywna</x:v>
      </x:c>
      <x:c r="D67" t="str">
        <x:f>'Katalog kart'!C69</x:f>
        <x:v>Tarcza</x:v>
      </x:c>
      <x:c r="E67" t="str">
        <x:f>'Katalog kart'!D69</x:f>
        <x:v>Chorąży z Pawężą</x:v>
      </x:c>
      <x:c r="F67" t="n">
        <x:f>'Katalog kart'!E69</x:f>
        <x:v>3</x:v>
      </x:c>
      <x:c r="G67" t="n">
        <x:f>'Katalog kart'!F69</x:f>
        <x:v>7</x:v>
      </x:c>
      <x:c r="H67" s="86" t="n">
        <x:f>IF(Q67="Ofensywny",'Balans — metoda'!$B$11,IF(Q67="Defensywny",0,'Balans — metoda'!$B$11/2))</x:f>
        <x:v>0</x:v>
      </x:c>
      <x:c r="I67" s="86" t="n">
        <x:f>'Balans — metoda'!$B$11-H67</x:f>
        <x:v>2</x:v>
      </x:c>
      <x:c r="J67" s="81" t="n">
        <x:f>F67+H67*'Balans — metoda'!$B$10+U67</x:f>
        <x:v>3</x:v>
      </x:c>
      <x:c r="K67" s="81" t="n">
        <x:f>G67+I67*'Balans — metoda'!$B$10+V67</x:f>
        <x:v>16</x:v>
      </x:c>
      <x:c r="L67" s="104" t="n">
        <x:f>IFERROR(VLOOKUP(C67,'Balans — metoda'!$F$6:$G$10,2,FALSE),0)</x:f>
        <x:v>3.75</x:v>
      </x:c>
      <x:c r="M67" s="86"/>
      <x:c r="N67" s="104" t="str">
        <x:f>IF(ISNUMBER(M67),M67*L67,"")</x:f>
      </x:c>
      <x:c r="O67" s="86" t="str">
        <x:v>Do oceny</x:v>
      </x:c>
      <x:c r="P67" s="86"/>
      <x:c r="Q67" s="146" t="str">
        <x:v>Defensywny</x:v>
      </x:c>
      <x:c r="R67" t="n">
        <x:f>INT('Balans — metoda'!$B$10/'Balans — metoda'!$B$12)</x:f>
        <x:v>1</x:v>
      </x:c>
      <x:c r="S67" t="str">
        <x:f>IF(OR(D67="Szybki atak",D67="Podwójny atak",D67="Tarcza",D67="Prowokacja"),"Patrz J/K",IF(ISNUMBER(M67),M67+R67,"Do opisania"))</x:f>
        <x:v>Patrz J/K</x:v>
      </x:c>
      <x:c r="T67" t="str">
        <x:v>Bonus statystyk cechy — uwzględniony w J/K</x:v>
      </x:c>
      <x:c r="U67" s="160" t="n">
        <x:f>IFERROR(R67*VLOOKUP(D67,'Premie cech'!$A$6:$C$9,2,FALSE),0)</x:f>
        <x:v>0</x:v>
      </x:c>
      <x:c r="V67" s="160" t="n">
        <x:f>IFERROR(R67*VLOOKUP(D67,'Premie cech'!$A$6:$C$9,3,FALSE),0)</x:f>
        <x:v>3</x:v>
      </x:c>
      <x:c r="W67" s="91" t="str">
        <x:v>Co 3 własne tury na ręce: dodatkowo +3 MAX HP.</x:v>
      </x:c>
    </x:row>
    <x:row r="68" ht="23" customHeight="1">
      <x:c r="A68" t="str">
        <x:f>'Katalog kart'!A70</x:f>
        <x:v>S107</x:v>
      </x:c>
      <x:c r="B68" t="str">
        <x:f>'Katalog kart'!M70</x:f>
        <x:v>Ludzie</x:v>
      </x:c>
      <x:c r="C68" t="str">
        <x:f>'Katalog kart'!B70</x:f>
        <x:v>Pasywna</x:v>
      </x:c>
      <x:c r="D68" t="str">
        <x:f>'Katalog kart'!C70</x:f>
        <x:v>Trucizna</x:v>
      </x:c>
      <x:c r="E68" t="str">
        <x:f>'Katalog kart'!D70</x:f>
        <x:v>Chemik Wojskowy</x:v>
      </x:c>
      <x:c r="F68" t="n">
        <x:f>'Katalog kart'!E70</x:f>
        <x:v>2</x:v>
      </x:c>
      <x:c r="G68" t="n">
        <x:f>'Katalog kart'!F70</x:f>
        <x:v>6</x:v>
      </x:c>
      <x:c r="H68" s="86" t="n">
        <x:f>IF(Q68="Ofensywny",'Balans — metoda'!$B$11,IF(Q68="Defensywny",0,'Balans — metoda'!$B$11/2))</x:f>
        <x:v>2</x:v>
      </x:c>
      <x:c r="I68" s="86" t="n">
        <x:f>'Balans — metoda'!$B$11-H68</x:f>
        <x:v>0</x:v>
      </x:c>
      <x:c r="J68" s="81" t="n">
        <x:f>F68+H68*'Balans — metoda'!$B$10+U68</x:f>
        <x:v>8</x:v>
      </x:c>
      <x:c r="K68" s="81" t="n">
        <x:f>G68+I68*'Balans — metoda'!$B$10+V68</x:f>
        <x:v>6</x:v>
      </x:c>
      <x:c r="L68" s="104" t="n">
        <x:f>IFERROR(VLOOKUP(C68,'Balans — metoda'!$F$6:$G$10,2,FALSE),0)</x:f>
        <x:v>3.75</x:v>
      </x:c>
      <x:c r="M68" s="86"/>
      <x:c r="N68" s="104" t="str">
        <x:f>IF(ISNUMBER(M68),M68*L68,"")</x:f>
      </x:c>
      <x:c r="O68" s="86" t="str">
        <x:v>Do oceny</x:v>
      </x:c>
      <x:c r="P68" s="86"/>
      <x:c r="Q68" s="146" t="str">
        <x:v>Ofensywny</x:v>
      </x:c>
      <x:c r="R68" t="n">
        <x:f>INT('Balans — metoda'!$B$10/'Balans — metoda'!$B$12)</x:f>
        <x:v>1</x:v>
      </x:c>
      <x:c r="S68" t="str">
        <x:f>IF(OR(D68="Szybki atak",D68="Podwójny atak",D68="Tarcza",D68="Prowokacja"),"Patrz J/K",IF(ISNUMBER(M68),M68+R68,"Do opisania"))</x:f>
        <x:v>Do opisania</x:v>
      </x:c>
      <x:c r="T68" t="str">
        <x:v>Efekt liczbowy — proponuj +1 mocy na poziom</x:v>
      </x:c>
      <x:c r="U68" s="160" t="n">
        <x:f>IFERROR(R68*VLOOKUP(D68,'Premie cech'!$A$6:$C$9,2,FALSE),0)</x:f>
        <x:v>0</x:v>
      </x:c>
      <x:c r="V68" s="160" t="n">
        <x:f>IFERROR(R68*VLOOKUP(D68,'Premie cech'!$A$6:$C$9,3,FALSE),0)</x:f>
        <x:v>0</x:v>
      </x:c>
      <x:c r="W68" s="91"/>
    </x:row>
    <x:row r="69" ht="23" customHeight="1">
      <x:c r="A69" t="str">
        <x:f>'Katalog kart'!A71</x:f>
        <x:v>S108</x:v>
      </x:c>
      <x:c r="B69" t="str">
        <x:f>'Katalog kart'!M71</x:f>
        <x:v>Ludzie</x:v>
      </x:c>
      <x:c r="C69" t="str">
        <x:f>'Katalog kart'!B71</x:f>
        <x:v>Pasywna</x:v>
      </x:c>
      <x:c r="D69" t="str">
        <x:f>'Katalog kart'!C71</x:f>
        <x:v>Ogłuszenie</x:v>
      </x:c>
      <x:c r="E69" t="str">
        <x:f>'Katalog kart'!D71</x:f>
        <x:v>Królewski Trębacz</x:v>
      </x:c>
      <x:c r="F69" t="n">
        <x:f>'Katalog kart'!E71</x:f>
        <x:v>1</x:v>
      </x:c>
      <x:c r="G69" t="n">
        <x:f>'Katalog kart'!F71</x:f>
        <x:v>6</x:v>
      </x:c>
      <x:c r="H69" s="86" t="n">
        <x:f>IF(Q69="Ofensywny",'Balans — metoda'!$B$11,IF(Q69="Defensywny",0,'Balans — metoda'!$B$11/2))</x:f>
        <x:v>1</x:v>
      </x:c>
      <x:c r="I69" s="86" t="n">
        <x:f>'Balans — metoda'!$B$11-H69</x:f>
        <x:v>1</x:v>
      </x:c>
      <x:c r="J69" s="81" t="n">
        <x:f>F69+H69*'Balans — metoda'!$B$10+U69</x:f>
        <x:v>4</x:v>
      </x:c>
      <x:c r="K69" s="81" t="n">
        <x:f>G69+I69*'Balans — metoda'!$B$10+V69</x:f>
        <x:v>9</x:v>
      </x:c>
      <x:c r="L69" s="104" t="n">
        <x:f>IFERROR(VLOOKUP(C69,'Balans — metoda'!$F$6:$G$10,2,FALSE),0)</x:f>
        <x:v>3.75</x:v>
      </x:c>
      <x:c r="M69" s="86"/>
      <x:c r="N69" s="104" t="str">
        <x:f>IF(ISNUMBER(M69),M69*L69,"")</x:f>
      </x:c>
      <x:c r="O69" s="86" t="str">
        <x:v>Do oceny</x:v>
      </x:c>
      <x:c r="P69" s="86"/>
      <x:c r="Q69" s="146" t="str">
        <x:v>Zrównoważony</x:v>
      </x:c>
      <x:c r="R69" t="n">
        <x:f>INT('Balans — metoda'!$B$10/'Balans — metoda'!$B$12)</x:f>
        <x:v>1</x:v>
      </x:c>
      <x:c r="S69" t="str">
        <x:f>IF(OR(D69="Szybki atak",D69="Podwójny atak",D69="Tarcza",D69="Prowokacja"),"Patrz J/K",IF(ISNUMBER(M69),M69+R69,"Do opisania"))</x:f>
        <x:v>Do opisania</x:v>
      </x:c>
      <x:c r="T69" t="str">
        <x:v>Efekt jakościowy — określ ulepszenie co 3 tury</x:v>
      </x:c>
      <x:c r="U69" s="160" t="n">
        <x:f>IFERROR(R69*VLOOKUP(D69,'Premie cech'!$A$6:$C$9,2,FALSE),0)</x:f>
        <x:v>0</x:v>
      </x:c>
      <x:c r="V69" s="160" t="n">
        <x:f>IFERROR(R69*VLOOKUP(D69,'Premie cech'!$A$6:$C$9,3,FALSE),0)</x:f>
        <x:v>0</x:v>
      </x:c>
      <x:c r="W69" s="91"/>
    </x:row>
    <x:row r="70" ht="23" customHeight="1">
      <x:c r="A70" t="str">
        <x:f>'Katalog kart'!A72</x:f>
        <x:v>S109</x:v>
      </x:c>
      <x:c r="B70" t="str">
        <x:f>'Katalog kart'!M72</x:f>
        <x:v>Ludzie</x:v>
      </x:c>
      <x:c r="C70" t="str">
        <x:f>'Katalog kart'!B72</x:f>
        <x:v>Pasywna</x:v>
      </x:c>
      <x:c r="D70" t="str">
        <x:f>'Katalog kart'!C72</x:f>
        <x:v>Regeneracja</x:v>
      </x:c>
      <x:c r="E70" t="str">
        <x:f>'Katalog kart'!D72</x:f>
        <x:v>Kapelan Odnowy</x:v>
      </x:c>
      <x:c r="F70" t="n">
        <x:f>'Katalog kart'!E72</x:f>
        <x:v>2</x:v>
      </x:c>
      <x:c r="G70" t="n">
        <x:f>'Katalog kart'!F72</x:f>
        <x:v>7</x:v>
      </x:c>
      <x:c r="H70" s="86" t="n">
        <x:f>IF(Q70="Ofensywny",'Balans — metoda'!$B$11,IF(Q70="Defensywny",0,'Balans — metoda'!$B$11/2))</x:f>
        <x:v>0</x:v>
      </x:c>
      <x:c r="I70" s="86" t="n">
        <x:f>'Balans — metoda'!$B$11-H70</x:f>
        <x:v>2</x:v>
      </x:c>
      <x:c r="J70" s="81" t="n">
        <x:f>F70+H70*'Balans — metoda'!$B$10+U70</x:f>
        <x:v>2</x:v>
      </x:c>
      <x:c r="K70" s="81" t="n">
        <x:f>G70+I70*'Balans — metoda'!$B$10+V70</x:f>
        <x:v>13</x:v>
      </x:c>
      <x:c r="L70" s="104" t="n">
        <x:f>IFERROR(VLOOKUP(C70,'Balans — metoda'!$F$6:$G$10,2,FALSE),0)</x:f>
        <x:v>3.75</x:v>
      </x:c>
      <x:c r="M70" s="86"/>
      <x:c r="N70" s="104" t="str">
        <x:f>IF(ISNUMBER(M70),M70*L70,"")</x:f>
      </x:c>
      <x:c r="O70" s="86" t="str">
        <x:v>Do oceny</x:v>
      </x:c>
      <x:c r="P70" s="86"/>
      <x:c r="Q70" s="146" t="str">
        <x:v>Defensywny</x:v>
      </x:c>
      <x:c r="R70" t="n">
        <x:f>INT('Balans — metoda'!$B$10/'Balans — metoda'!$B$12)</x:f>
        <x:v>1</x:v>
      </x:c>
      <x:c r="S70" t="str">
        <x:f>IF(OR(D70="Szybki atak",D70="Podwójny atak",D70="Tarcza",D70="Prowokacja"),"Patrz J/K",IF(ISNUMBER(M70),M70+R70,"Do opisania"))</x:f>
        <x:v>Do opisania</x:v>
      </x:c>
      <x:c r="T70" t="str">
        <x:v>Efekt liczbowy — proponuj +1 mocy na poziom</x:v>
      </x:c>
      <x:c r="U70" s="160" t="n">
        <x:f>IFERROR(R70*VLOOKUP(D70,'Premie cech'!$A$6:$C$9,2,FALSE),0)</x:f>
        <x:v>0</x:v>
      </x:c>
      <x:c r="V70" s="160" t="n">
        <x:f>IFERROR(R70*VLOOKUP(D70,'Premie cech'!$A$6:$C$9,3,FALSE),0)</x:f>
        <x:v>0</x:v>
      </x:c>
      <x:c r="W70" s="91"/>
    </x:row>
    <x:row r="71" ht="23" customHeight="1">
      <x:c r="A71" t="str">
        <x:f>'Katalog kart'!A73</x:f>
        <x:v>S33</x:v>
      </x:c>
      <x:c r="B71" t="str">
        <x:f>'Katalog kart'!M73</x:f>
        <x:v>Ludzie</x:v>
      </x:c>
      <x:c r="C71" t="str">
        <x:f>'Katalog kart'!B73</x:f>
        <x:v>Pasywna</x:v>
      </x:c>
      <x:c r="D71" t="str">
        <x:f>'Katalog kart'!C73</x:f>
        <x:v>Prowokacja</x:v>
      </x:c>
      <x:c r="E71" t="str">
        <x:f>'Katalog kart'!D73</x:f>
        <x:v>Strażnik Bram</x:v>
      </x:c>
      <x:c r="F71" t="n">
        <x:f>'Katalog kart'!E73</x:f>
        <x:v>2</x:v>
      </x:c>
      <x:c r="G71" t="n">
        <x:f>'Katalog kart'!F73</x:f>
        <x:v>8</x:v>
      </x:c>
      <x:c r="H71" s="86" t="n">
        <x:f>IF(Q71="Ofensywny",'Balans — metoda'!$B$11,IF(Q71="Defensywny",0,'Balans — metoda'!$B$11/2))</x:f>
        <x:v>0</x:v>
      </x:c>
      <x:c r="I71" s="86" t="n">
        <x:f>'Balans — metoda'!$B$11-H71</x:f>
        <x:v>2</x:v>
      </x:c>
      <x:c r="J71" s="81" t="n">
        <x:f>F71+H71*'Balans — metoda'!$B$10+U71</x:f>
        <x:v>2</x:v>
      </x:c>
      <x:c r="K71" s="81" t="n">
        <x:f>G71+I71*'Balans — metoda'!$B$10+V71</x:f>
        <x:v>17</x:v>
      </x:c>
      <x:c r="L71" s="104" t="n">
        <x:f>IFERROR(VLOOKUP(C71,'Balans — metoda'!$F$6:$G$10,2,FALSE),0)</x:f>
        <x:v>3.75</x:v>
      </x:c>
      <x:c r="M71" s="86"/>
      <x:c r="N71" s="104" t="str">
        <x:f>IF(ISNUMBER(M71),M71*L71,"")</x:f>
      </x:c>
      <x:c r="O71" s="86" t="str">
        <x:v>Do oceny</x:v>
      </x:c>
      <x:c r="P71" s="86"/>
      <x:c r="Q71" s="146" t="str">
        <x:v>Defensywny</x:v>
      </x:c>
      <x:c r="R71" t="n">
        <x:f>INT('Balans — metoda'!$B$10/'Balans — metoda'!$B$12)</x:f>
        <x:v>1</x:v>
      </x:c>
      <x:c r="S71" t="str">
        <x:f>IF(OR(D71="Szybki atak",D71="Podwójny atak",D71="Tarcza",D71="Prowokacja"),"Patrz J/K",IF(ISNUMBER(M71),M71+R71,"Do opisania"))</x:f>
        <x:v>Patrz J/K</x:v>
      </x:c>
      <x:c r="T71" t="str">
        <x:v>Bonus statystyk cechy — uwzględniony w J/K</x:v>
      </x:c>
      <x:c r="U71" s="160" t="n">
        <x:f>IFERROR(R71*VLOOKUP(D71,'Premie cech'!$A$6:$C$9,2,FALSE),0)</x:f>
        <x:v>0</x:v>
      </x:c>
      <x:c r="V71" s="160" t="n">
        <x:f>IFERROR(R71*VLOOKUP(D71,'Premie cech'!$A$6:$C$9,3,FALSE),0)</x:f>
        <x:v>3</x:v>
      </x:c>
      <x:c r="W71" s="91" t="str">
        <x:v>Co 3 własne tury na ręce: dodatkowo +3 MAX HP.</x:v>
      </x:c>
    </x:row>
    <x:row r="72" ht="23" customHeight="1">
      <x:c r="A72" t="str">
        <x:f>'Katalog kart'!A74</x:f>
        <x:v>S111</x:v>
      </x:c>
      <x:c r="B72" t="str">
        <x:f>'Katalog kart'!M74</x:f>
        <x:v>Ludzie</x:v>
      </x:c>
      <x:c r="C72" t="str">
        <x:f>'Katalog kart'!B74</x:f>
        <x:v>Pasywna</x:v>
      </x:c>
      <x:c r="D72" t="str">
        <x:f>'Katalog kart'!C74</x:f>
        <x:v>Oczyszczanie</x:v>
      </x:c>
      <x:c r="E72" t="str">
        <x:f>'Katalog kart'!D74</x:f>
        <x:v>Chirurg Frontowy</x:v>
      </x:c>
      <x:c r="F72" t="n">
        <x:f>'Katalog kart'!E74</x:f>
        <x:v>2</x:v>
      </x:c>
      <x:c r="G72" t="n">
        <x:f>'Katalog kart'!F74</x:f>
        <x:v>7</x:v>
      </x:c>
      <x:c r="H72" s="86" t="n">
        <x:f>IF(Q72="Ofensywny",'Balans — metoda'!$B$11,IF(Q72="Defensywny",0,'Balans — metoda'!$B$11/2))</x:f>
        <x:v>1</x:v>
      </x:c>
      <x:c r="I72" s="86" t="n">
        <x:f>'Balans — metoda'!$B$11-H72</x:f>
        <x:v>1</x:v>
      </x:c>
      <x:c r="J72" s="81" t="n">
        <x:f>F72+H72*'Balans — metoda'!$B$10+U72</x:f>
        <x:v>5</x:v>
      </x:c>
      <x:c r="K72" s="81" t="n">
        <x:f>G72+I72*'Balans — metoda'!$B$10+V72</x:f>
        <x:v>10</x:v>
      </x:c>
      <x:c r="L72" s="104" t="n">
        <x:f>IFERROR(VLOOKUP(C72,'Balans — metoda'!$F$6:$G$10,2,FALSE),0)</x:f>
        <x:v>3.75</x:v>
      </x:c>
      <x:c r="M72" s="86"/>
      <x:c r="N72" s="104" t="str">
        <x:f>IF(ISNUMBER(M72),M72*L72,"")</x:f>
      </x:c>
      <x:c r="O72" s="86" t="str">
        <x:v>Do oceny</x:v>
      </x:c>
      <x:c r="P72" s="86"/>
      <x:c r="Q72" s="146" t="str">
        <x:v>Zrównoważony</x:v>
      </x:c>
      <x:c r="R72" t="n">
        <x:f>INT('Balans — metoda'!$B$10/'Balans — metoda'!$B$12)</x:f>
        <x:v>1</x:v>
      </x:c>
      <x:c r="S72" t="str">
        <x:f>IF(OR(D72="Szybki atak",D72="Podwójny atak",D72="Tarcza",D72="Prowokacja"),"Patrz J/K",IF(ISNUMBER(M72),M72+R72,"Do opisania"))</x:f>
        <x:v>Do opisania</x:v>
      </x:c>
      <x:c r="T72" t="str">
        <x:v>Efekt jakościowy — określ ulepszenie co 3 tury</x:v>
      </x:c>
      <x:c r="U72" s="160" t="n">
        <x:f>IFERROR(R72*VLOOKUP(D72,'Premie cech'!$A$6:$C$9,2,FALSE),0)</x:f>
        <x:v>0</x:v>
      </x:c>
      <x:c r="V72" s="160" t="n">
        <x:f>IFERROR(R72*VLOOKUP(D72,'Premie cech'!$A$6:$C$9,3,FALSE),0)</x:f>
        <x:v>0</x:v>
      </x:c>
      <x:c r="W72" s="91"/>
    </x:row>
    <x:row r="73" ht="23" customHeight="1">
      <x:c r="A73" t="str">
        <x:f>'Katalog kart'!A75</x:f>
        <x:v>S39</x:v>
      </x:c>
      <x:c r="B73" t="str">
        <x:f>'Katalog kart'!M75</x:f>
        <x:v>Ludzie</x:v>
      </x:c>
      <x:c r="C73" t="str">
        <x:f>'Katalog kart'!B75</x:f>
        <x:v>Pasywna</x:v>
      </x:c>
      <x:c r="D73" t="str">
        <x:f>'Katalog kart'!C75</x:f>
        <x:v>Odporność</x:v>
      </x:c>
      <x:c r="E73" t="str">
        <x:f>'Katalog kart'!D75</x:f>
        <x:v>Alchemik Antytoksyk</x:v>
      </x:c>
      <x:c r="F73" t="n">
        <x:f>'Katalog kart'!E75</x:f>
        <x:v>4</x:v>
      </x:c>
      <x:c r="G73" t="n">
        <x:f>'Katalog kart'!F75</x:f>
        <x:v>7</x:v>
      </x:c>
      <x:c r="H73" s="86" t="n">
        <x:f>IF(Q73="Ofensywny",'Balans — metoda'!$B$11,IF(Q73="Defensywny",0,'Balans — metoda'!$B$11/2))</x:f>
        <x:v>0</x:v>
      </x:c>
      <x:c r="I73" s="86" t="n">
        <x:f>'Balans — metoda'!$B$11-H73</x:f>
        <x:v>2</x:v>
      </x:c>
      <x:c r="J73" s="81" t="n">
        <x:f>F73+H73*'Balans — metoda'!$B$10+U73</x:f>
        <x:v>4</x:v>
      </x:c>
      <x:c r="K73" s="81" t="n">
        <x:f>G73+I73*'Balans — metoda'!$B$10+V73</x:f>
        <x:v>13</x:v>
      </x:c>
      <x:c r="L73" s="104" t="n">
        <x:f>IFERROR(VLOOKUP(C73,'Balans — metoda'!$F$6:$G$10,2,FALSE),0)</x:f>
        <x:v>3.75</x:v>
      </x:c>
      <x:c r="M73" s="86"/>
      <x:c r="N73" s="104" t="str">
        <x:f>IF(ISNUMBER(M73),M73*L73,"")</x:f>
      </x:c>
      <x:c r="O73" s="86" t="str">
        <x:v>Do oceny</x:v>
      </x:c>
      <x:c r="P73" s="86"/>
      <x:c r="Q73" s="146" t="str">
        <x:v>Defensywny</x:v>
      </x:c>
      <x:c r="R73" t="n">
        <x:f>INT('Balans — metoda'!$B$10/'Balans — metoda'!$B$12)</x:f>
        <x:v>1</x:v>
      </x:c>
      <x:c r="S73" t="str">
        <x:f>IF(OR(D73="Szybki atak",D73="Podwójny atak",D73="Tarcza",D73="Prowokacja"),"Patrz J/K",IF(ISNUMBER(M73),M73+R73,"Do opisania"))</x:f>
        <x:v>Do opisania</x:v>
      </x:c>
      <x:c r="T73" t="str">
        <x:v>Efekt jakościowy — określ ulepszenie co 3 tury</x:v>
      </x:c>
      <x:c r="U73" s="160" t="n">
        <x:f>IFERROR(R73*VLOOKUP(D73,'Premie cech'!$A$6:$C$9,2,FALSE),0)</x:f>
        <x:v>0</x:v>
      </x:c>
      <x:c r="V73" s="160" t="n">
        <x:f>IFERROR(R73*VLOOKUP(D73,'Premie cech'!$A$6:$C$9,3,FALSE),0)</x:f>
        <x:v>0</x:v>
      </x:c>
      <x:c r="W73" s="91"/>
    </x:row>
    <x:row r="74" ht="23" customHeight="1">
      <x:c r="A74" t="str">
        <x:f>'Katalog kart'!A76</x:f>
        <x:v>S114</x:v>
      </x:c>
      <x:c r="B74" t="str">
        <x:f>'Katalog kart'!M76</x:f>
        <x:v>Ludzie</x:v>
      </x:c>
      <x:c r="C74" t="str">
        <x:f>'Katalog kart'!B76</x:f>
        <x:v>Pasywna</x:v>
      </x:c>
      <x:c r="D74" t="str">
        <x:f>'Katalog kart'!C76</x:f>
        <x:v>Szybki atak</x:v>
      </x:c>
      <x:c r="E74" t="str">
        <x:f>'Katalog kart'!D76</x:f>
        <x:v>Instruktor Błyskawicznego Natarcia</x:v>
      </x:c>
      <x:c r="F74" t="n">
        <x:f>'Katalog kart'!E76</x:f>
        <x:v>1</x:v>
      </x:c>
      <x:c r="G74" t="n">
        <x:f>'Katalog kart'!F76</x:f>
        <x:v>4</x:v>
      </x:c>
      <x:c r="H74" s="86" t="n">
        <x:f>IF(Q74="Ofensywny",'Balans — metoda'!$B$11,IF(Q74="Defensywny",0,'Balans — metoda'!$B$11/2))</x:f>
        <x:v>2</x:v>
      </x:c>
      <x:c r="I74" s="86" t="n">
        <x:f>'Balans — metoda'!$B$11-H74</x:f>
        <x:v>0</x:v>
      </x:c>
      <x:c r="J74" s="81" t="n">
        <x:f>F74+H74*'Balans — metoda'!$B$10+U74</x:f>
        <x:v>9</x:v>
      </x:c>
      <x:c r="K74" s="81" t="n">
        <x:f>G74+I74*'Balans — metoda'!$B$10+V74</x:f>
        <x:v>5</x:v>
      </x:c>
      <x:c r="L74" s="104" t="n">
        <x:f>IFERROR(VLOOKUP(C74,'Balans — metoda'!$F$6:$G$10,2,FALSE),0)</x:f>
        <x:v>3.75</x:v>
      </x:c>
      <x:c r="M74" s="86"/>
      <x:c r="N74" s="104" t="str">
        <x:f>IF(ISNUMBER(M74),M74*L74,"")</x:f>
      </x:c>
      <x:c r="O74" s="86" t="str">
        <x:v>Do oceny</x:v>
      </x:c>
      <x:c r="P74" s="86"/>
      <x:c r="Q74" s="146" t="str">
        <x:v>Ofensywny</x:v>
      </x:c>
      <x:c r="R74" t="n">
        <x:f>INT('Balans — metoda'!$B$10/'Balans — metoda'!$B$12)</x:f>
        <x:v>1</x:v>
      </x:c>
      <x:c r="S74" t="str">
        <x:f>IF(OR(D74="Szybki atak",D74="Podwójny atak",D74="Tarcza",D74="Prowokacja"),"Patrz J/K",IF(ISNUMBER(M74),M74+R74,"Do opisania"))</x:f>
        <x:v>Patrz J/K</x:v>
      </x:c>
      <x:c r="T74" t="str">
        <x:v>Bonus statystyk cechy — uwzględniony w J/K</x:v>
      </x:c>
      <x:c r="U74" s="160" t="n">
        <x:f>IFERROR(R74*VLOOKUP(D74,'Premie cech'!$A$6:$C$9,2,FALSE),0)</x:f>
        <x:v>2</x:v>
      </x:c>
      <x:c r="V74" s="160" t="n">
        <x:f>IFERROR(R74*VLOOKUP(D74,'Premie cech'!$A$6:$C$9,3,FALSE),0)</x:f>
        <x:v>1</x:v>
      </x:c>
      <x:c r="W74" s="91" t="str">
        <x:v>Co 3 własne tury na ręce: dodatkowo +2 ATK oraz +1 MAX HP.</x:v>
      </x:c>
    </x:row>
    <x:row r="75" ht="23" customHeight="1">
      <x:c r="A75" t="str">
        <x:f>'Katalog kart'!A77</x:f>
        <x:v>S115</x:v>
      </x:c>
      <x:c r="B75" t="str">
        <x:f>'Katalog kart'!M77</x:f>
        <x:v>Ludzie</x:v>
      </x:c>
      <x:c r="C75" t="str">
        <x:f>'Katalog kart'!B77</x:f>
        <x:v>Pasywna</x:v>
      </x:c>
      <x:c r="D75" t="str">
        <x:f>'Katalog kart'!C77</x:f>
        <x:v>Podwójny atak</x:v>
      </x:c>
      <x:c r="E75" t="str">
        <x:f>'Katalog kart'!D77</x:f>
        <x:v>Mistrz Dwóch Ostrzy</x:v>
      </x:c>
      <x:c r="F75" t="n">
        <x:f>'Katalog kart'!E77</x:f>
        <x:v>1</x:v>
      </x:c>
      <x:c r="G75" t="n">
        <x:f>'Katalog kart'!F77</x:f>
        <x:v>5</x:v>
      </x:c>
      <x:c r="H75" s="86" t="n">
        <x:f>IF(Q75="Ofensywny",'Balans — metoda'!$B$11,IF(Q75="Defensywny",0,'Balans — metoda'!$B$11/2))</x:f>
        <x:v>2</x:v>
      </x:c>
      <x:c r="I75" s="86" t="n">
        <x:f>'Balans — metoda'!$B$11-H75</x:f>
        <x:v>0</x:v>
      </x:c>
      <x:c r="J75" s="81" t="n">
        <x:f>F75+H75*'Balans — metoda'!$B$10+U75</x:f>
        <x:v>9</x:v>
      </x:c>
      <x:c r="K75" s="81" t="n">
        <x:f>G75+I75*'Balans — metoda'!$B$10+V75</x:f>
        <x:v>5</x:v>
      </x:c>
      <x:c r="L75" s="104" t="n">
        <x:f>IFERROR(VLOOKUP(C75,'Balans — metoda'!$F$6:$G$10,2,FALSE),0)</x:f>
        <x:v>3.75</x:v>
      </x:c>
      <x:c r="M75" s="86"/>
      <x:c r="N75" s="104" t="str">
        <x:f>IF(ISNUMBER(M75),M75*L75,"")</x:f>
      </x:c>
      <x:c r="O75" s="86" t="str">
        <x:v>Do oceny</x:v>
      </x:c>
      <x:c r="P75" s="86"/>
      <x:c r="Q75" s="146" t="str">
        <x:v>Ofensywny</x:v>
      </x:c>
      <x:c r="R75" t="n">
        <x:f>INT('Balans — metoda'!$B$10/'Balans — metoda'!$B$12)</x:f>
        <x:v>1</x:v>
      </x:c>
      <x:c r="S75" t="str">
        <x:f>IF(OR(D75="Szybki atak",D75="Podwójny atak",D75="Tarcza",D75="Prowokacja"),"Patrz J/K",IF(ISNUMBER(M75),M75+R75,"Do opisania"))</x:f>
        <x:v>Patrz J/K</x:v>
      </x:c>
      <x:c r="T75" t="str">
        <x:v>Bonus statystyk cechy — uwzględniony w J/K</x:v>
      </x:c>
      <x:c r="U75" s="160" t="n">
        <x:f>IFERROR(R75*VLOOKUP(D75,'Premie cech'!$A$6:$C$9,2,FALSE),0)</x:f>
        <x:v>2</x:v>
      </x:c>
      <x:c r="V75" s="160" t="n">
        <x:f>IFERROR(R75*VLOOKUP(D75,'Premie cech'!$A$6:$C$9,3,FALSE),0)</x:f>
        <x:v>0</x:v>
      </x:c>
      <x:c r="W75" s="91" t="str">
        <x:v>Co 3 własne tury na ręce: dodatkowo +2 ATK.</x:v>
      </x:c>
    </x:row>
    <x:row r="76" ht="23" customHeight="1">
      <x:c r="A76"/>
      <x:c r="B76"/>
      <x:c r="C76"/>
      <x:c r="D76"/>
      <x:c r="E76"/>
      <x:c r="F76"/>
      <x:c r="G76"/>
      <x:c r="H76" s="86"/>
      <x:c r="I76" s="86"/>
      <x:c r="J76" s="81"/>
      <x:c r="K76" s="81"/>
      <x:c r="L76" s="104"/>
      <x:c r="M76" s="86"/>
      <x:c r="N76" s="104"/>
      <x:c r="O76" s="86"/>
      <x:c r="P76" s="86"/>
      <x:c r="Q76" s="146"/>
      <x:c r="R76"/>
      <x:c r="S76"/>
      <x:c r="T76"/>
      <x:c r="U76" s="160"/>
      <x:c r="V76" s="160"/>
      <x:c r="W76" s="91"/>
    </x:row>
    <x:row r="77" ht="23" customHeight="1">
      <x:c r="A77"/>
      <x:c r="B77"/>
      <x:c r="C77"/>
      <x:c r="D77"/>
      <x:c r="E77"/>
      <x:c r="F77"/>
      <x:c r="G77"/>
      <x:c r="H77" s="86"/>
      <x:c r="I77" s="86"/>
      <x:c r="J77" s="81"/>
      <x:c r="K77" s="81"/>
      <x:c r="L77" s="104"/>
      <x:c r="M77" s="86"/>
      <x:c r="N77" s="104"/>
      <x:c r="O77" s="86"/>
      <x:c r="P77" s="86"/>
      <x:c r="Q77" s="146"/>
      <x:c r="R77"/>
      <x:c r="S77"/>
      <x:c r="T77"/>
      <x:c r="U77" s="160"/>
      <x:c r="V77" s="160"/>
      <x:c r="W77" s="91"/>
    </x:row>
    <x:row r="78" ht="23" customHeight="1">
      <x:c r="A78"/>
      <x:c r="B78"/>
      <x:c r="C78"/>
      <x:c r="D78"/>
      <x:c r="E78"/>
      <x:c r="F78"/>
      <x:c r="G78"/>
      <x:c r="H78" s="86"/>
      <x:c r="I78" s="86"/>
      <x:c r="J78" s="81"/>
      <x:c r="K78" s="81"/>
      <x:c r="L78" s="104"/>
      <x:c r="M78" s="86"/>
      <x:c r="N78" s="104"/>
      <x:c r="O78" s="86"/>
      <x:c r="P78" s="86"/>
      <x:c r="Q78" s="146"/>
      <x:c r="R78"/>
      <x:c r="S78"/>
      <x:c r="T78"/>
      <x:c r="U78" s="160"/>
      <x:c r="V78" s="160"/>
      <x:c r="W78" s="91"/>
    </x:row>
    <x:row r="79" ht="23" customHeight="1">
      <x:c r="A79"/>
      <x:c r="B79"/>
      <x:c r="C79"/>
      <x:c r="D79"/>
      <x:c r="E79"/>
      <x:c r="F79"/>
      <x:c r="G79"/>
      <x:c r="H79" s="86"/>
      <x:c r="I79" s="86"/>
      <x:c r="J79" s="81"/>
      <x:c r="K79" s="81"/>
      <x:c r="L79" s="104"/>
      <x:c r="M79" s="86"/>
      <x:c r="N79" s="104"/>
      <x:c r="O79" s="86"/>
      <x:c r="P79" s="86"/>
      <x:c r="Q79" s="146"/>
      <x:c r="R79"/>
      <x:c r="S79"/>
      <x:c r="T79"/>
      <x:c r="U79" s="160"/>
      <x:c r="V79" s="160"/>
      <x:c r="W79" s="91"/>
    </x:row>
    <x:row r="80" ht="23" customHeight="1">
      <x:c r="A80"/>
      <x:c r="B80"/>
      <x:c r="C80"/>
      <x:c r="D80"/>
      <x:c r="E80"/>
      <x:c r="F80"/>
      <x:c r="G80"/>
      <x:c r="H80" s="86"/>
      <x:c r="I80" s="86"/>
      <x:c r="J80" s="81"/>
      <x:c r="K80" s="81"/>
      <x:c r="L80" s="104"/>
      <x:c r="M80" s="86"/>
      <x:c r="N80" s="104"/>
      <x:c r="O80" s="86"/>
      <x:c r="P80" s="86"/>
      <x:c r="Q80" s="146"/>
      <x:c r="R80"/>
      <x:c r="S80"/>
      <x:c r="T80"/>
      <x:c r="U80" s="160"/>
      <x:c r="V80" s="160"/>
      <x:c r="W80" s="91"/>
    </x:row>
  </x:sheetData>
  <x:mergeCells>
    <x:mergeCell ref="A1:P1"/>
    <x:mergeCell ref="A2:P2"/>
    <x:mergeCell ref="A3:P3"/>
  </x:mergeCells>
  <x:dataValidations count="2">
    <x:dataValidation type="list" sqref="O6:O80">
      <x:formula1>"Do oceny,Za słaba,OK,Za mocna,Testy"</x:formula1>
    </x:dataValidation>
    <x:dataValidation type="list" sqref="Q6:Q80">
      <x:formula1>"Ofensywny,Zrównoważony,Defensywny"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1daba1cae214055"/>
  </x:tableParts>
</x:worksheet>
</file>

<file path=xl/worksheets/sheet7.xml><?xml version="1.0" encoding="utf-8"?>
<x:worksheet xmlns:x="http://schemas.openxmlformats.org/spreadsheetml/2006/main">
  <x:sheetViews>
    <x:sheetView workbookViewId="0">
      <x:pane ySplit="11" topLeftCell="A12" activePane="bottomLeft" state="frozen"/>
    </x:sheetView>
  </x:sheetViews>
  <x:sheetFormatPr defaultRowHeight="15"/>
  <x:cols>
    <x:col min="1" max="1" width="9" hidden="0" customWidth="1"/>
    <x:col min="2" max="2" width="18" hidden="0" customWidth="1"/>
    <x:col min="3" max="3" width="20" hidden="0" customWidth="1"/>
    <x:col min="4" max="4" width="21" hidden="0" customWidth="1"/>
    <x:col min="5" max="5" width="27" hidden="0" customWidth="1"/>
    <x:col min="6" max="6" width="10" hidden="0" customWidth="1"/>
    <x:col min="7" max="7" width="11" hidden="0" customWidth="1"/>
    <x:col min="8" max="8" width="12" hidden="0" customWidth="1"/>
    <x:col min="9" max="9" width="17" hidden="0" customWidth="1"/>
    <x:col min="10" max="10" width="19" hidden="0" customWidth="1"/>
    <x:col min="11" max="11" width="19" hidden="0" customWidth="1"/>
    <x:col min="12" max="12" width="17" hidden="0" customWidth="1"/>
    <x:col min="13" max="13" width="19" hidden="0" customWidth="1"/>
    <x:col min="14" max="14" width="19" hidden="0" customWidth="1"/>
    <x:col min="15" max="15" width="24" hidden="0" customWidth="1"/>
    <x:col min="16" max="16" width="31" hidden="0" customWidth="1"/>
    <x:col min="17" max="17" width="39" hidden="0" customWidth="1"/>
    <x:col min="18" max="18" width="20" hidden="0" customWidth="1"/>
  </x:cols>
  <x:sheetData>
    <x:row r="1">
      <x:c r="A1" s="107" t="str">
        <x:v>BALANS • 5 KART WZORCOWYCH</x:v>
      </x:c>
      <x:c r="B1" s="107"/>
      <x:c r="C1" s="107"/>
      <x:c r="D1" s="107"/>
      <x:c r="E1" s="107"/>
      <x:c r="F1" s="107"/>
      <x:c r="G1" s="107"/>
      <x:c r="H1" s="107"/>
      <x:c r="I1" s="107"/>
      <x:c r="J1" s="107"/>
      <x:c r="K1" s="107"/>
      <x:c r="L1" s="107"/>
      <x:c r="M1" s="107"/>
      <x:c r="N1" s="107"/>
      <x:c r="O1" s="107"/>
      <x:c r="P1" s="107"/>
      <x:c r="Q1" s="107"/>
    </x:row>
    <x:row r="2">
      <x:c r="A2" s="107" t="str">
        <x:v>HISTORYCZNY / POMOCNICZY ARKUSZ V12 — aktualny balans i wyniki symulacji w „Balans V13 — 70 kart”.</x:v>
      </x:c>
      <x:c r="B2" s="107"/>
      <x:c r="C2" s="107"/>
      <x:c r="D2" s="107"/>
      <x:c r="E2" s="107"/>
      <x:c r="F2" s="107"/>
      <x:c r="G2" s="107"/>
      <x:c r="H2" s="107"/>
      <x:c r="I2" s="107"/>
      <x:c r="J2" s="107"/>
      <x:c r="K2" s="107"/>
      <x:c r="L2" s="107"/>
      <x:c r="M2" s="107"/>
      <x:c r="N2" s="107"/>
      <x:c r="O2" s="107"/>
      <x:c r="P2" s="107"/>
      <x:c r="Q2" s="107"/>
    </x:row>
    <x:row r="4" ht="29" customHeight="1">
      <x:c r="A4" s="110" t="str">
        <x:v>70 podstawowych archetypów, 5 wzorców do kalibracji. Każda karta zyskuje co turę na ręce 2 pkt statystyk i co 3 tury ulepsza zdolność.</x:v>
      </x:c>
      <x:c r="B4" s="110"/>
      <x:c r="C4" s="110"/>
      <x:c r="D4" s="110"/>
      <x:c r="E4" s="110"/>
      <x:c r="F4" s="110"/>
      <x:c r="G4" s="110"/>
      <x:c r="H4" s="110"/>
      <x:c r="I4" s="110"/>
      <x:c r="J4" s="110"/>
      <x:c r="K4" s="110"/>
      <x:c r="L4" s="110"/>
      <x:c r="M4" s="110"/>
      <x:c r="N4" s="110"/>
      <x:c r="O4" s="110"/>
      <x:c r="P4" s="110"/>
      <x:c r="Q4" s="110"/>
    </x:row>
    <x:row r="6" ht="27" customHeight="1">
      <x:c r="A6" t="str">
        <x:v>Archetypy startowe</x:v>
      </x:c>
      <x:c r="B6" s="113" t="n">
        <x:v>70</x:v>
      </x:c>
      <x:c r="D6" t="str">
        <x:v>Karty wzorcowe</x:v>
      </x:c>
      <x:c r="E6" s="113" t="n">
        <x:v>5</x:v>
      </x:c>
      <x:c r="G6" t="str">
        <x:v>Tury na ręce (symulacja)</x:v>
      </x:c>
      <x:c r="H6" s="113" t="n">
        <x:v>3</x:v>
      </x:c>
      <x:c r="J6" t="str">
        <x:v>Zakres</x:v>
      </x:c>
      <x:c r="K6" t="str">
        <x:v>Tylko wartości testowe 5 kart</x:v>
      </x:c>
    </x:row>
    <x:row r="11" ht="42" customHeight="1">
      <x:c r="A11" s="117" t="str">
        <x:v>ID</x:v>
      </x:c>
      <x:c r="B11" s="117" t="str">
        <x:v>Frakcja</x:v>
      </x:c>
      <x:c r="C11" s="117" t="str">
        <x:v>Karta</x:v>
      </x:c>
      <x:c r="D11" s="117" t="str">
        <x:v>Aktywacja</x:v>
      </x:c>
      <x:c r="E11" s="117" t="str">
        <x:v>Cel / warunek</x:v>
      </x:c>
      <x:c r="F11" s="117" t="str">
        <x:v>ATK</x:v>
      </x:c>
      <x:c r="G11" s="117" t="str">
        <x:v>MAX HP</x:v>
      </x:c>
      <x:c r="H11" s="117" t="str">
        <x:v>Moc efektu</x:v>
      </x:c>
      <x:c r="I11" s="117" t="str">
        <x:v>+ATK / turę na ręce</x:v>
      </x:c>
      <x:c r="J11" s="117" t="str">
        <x:v>+MAX HP / turę na ręce</x:v>
      </x:c>
      <x:c r="K11" s="117" t="str">
        <x:v>Ulepszenie efektu co N tur</x:v>
      </x:c>
      <x:c r="L11" s="117" t="str">
        <x:v>Szac. aktywacje</x:v>
      </x:c>
      <x:c r="M11" s="117" t="str">
        <x:v>Efekt łącznie T0*</x:v>
      </x:c>
      <x:c r="N11" s="117" t="str">
        <x:v>Efekt łącznie po N*</x:v>
      </x:c>
      <x:c r="O11" s="117" t="str">
        <x:v>Korekta do testów</x:v>
      </x:c>
      <x:c r="P11" s="117" t="str">
        <x:v>Aktualna wersja katalogu</x:v>
      </x:c>
      <x:c r="Q11" s="117" t="str">
        <x:v>Uwaga / ograniczenie</x:v>
      </x:c>
      <x:c r="R11" s="145" t="str">
        <x:v>Profil przyrostu</x:v>
      </x:c>
    </x:row>
    <x:row r="12" ht="49" customHeight="1">
      <x:c r="A12" s="91" t="str">
        <x:v>S01</x:v>
      </x:c>
      <x:c r="B12" s="91" t="str">
        <x:v>Elfy</x:v>
      </x:c>
      <x:c r="C12" s="91" t="str">
        <x:f>'Katalog kart'!D8</x:f>
        <x:v>Mag Zorzy</x:v>
      </x:c>
      <x:c r="D12" s="91" t="str">
        <x:v>Przy wystawieniu</x:v>
      </x:c>
      <x:c r="E12" s="91" t="str">
        <x:v>Wybrana wroga jednostka</x:v>
      </x:c>
      <x:c r="F12" s="119" t="n">
        <x:v>3</x:v>
      </x:c>
      <x:c r="G12" s="119" t="n">
        <x:v>5</x:v>
      </x:c>
      <x:c r="H12" s="119" t="n">
        <x:v>3</x:v>
      </x:c>
      <x:c r="I12" s="119" t="n">
        <x:f>'Balans — karty'!H6</x:f>
        <x:v>1</x:v>
      </x:c>
      <x:c r="J12" s="119" t="n">
        <x:f>'Balans — karty'!I6</x:f>
        <x:v>1</x:v>
      </x:c>
      <x:c r="K12" s="119" t="n">
        <x:f>'Balans — metoda'!$B$12</x:f>
        <x:v>3</x:v>
      </x:c>
      <x:c r="L12" s="121" t="n">
        <x:f>'Balans — metoda'!G6</x:f>
        <x:v>1</x:v>
      </x:c>
      <x:c r="M12" s="121" t="n">
        <x:f>H12*L12</x:f>
        <x:v>3</x:v>
      </x:c>
      <x:c r="N12" s="121" t="n">
        <x:f>(H12+INT($H$6/K12))*L12</x:f>
        <x:v>4</x:v>
      </x:c>
      <x:c r="O12" s="122" t="str">
        <x:v>Bez zmiany efektu</x:v>
      </x:c>
      <x:c r="P12" s="123" t="str">
        <x:v>3 obrażenia jednostce</x:v>
      </x:c>
      <x:c r="Q12" s="123" t="str">
        <x:v>Pewne wyzwolenie tylko przy zagraniu</x:v>
      </x:c>
      <x:c r="R12" t="str">
        <x:f>'Balans — karty'!Q6</x:f>
        <x:v>Zrównoważony</x:v>
      </x:c>
    </x:row>
    <x:row r="13" ht="49" customHeight="1">
      <x:c r="A13" s="91" t="str">
        <x:v>S09</x:v>
      </x:c>
      <x:c r="B13" s="91" t="str">
        <x:v>Dzikie bestie</x:v>
      </x:c>
      <x:c r="C13" s="91" t="str">
        <x:f>'Katalog kart'!D22</x:f>
        <x:v>Wilk Szponiasty</x:v>
      </x:c>
      <x:c r="D13" s="91" t="str">
        <x:v>Przy ataku</x:v>
      </x:c>
      <x:c r="E13" s="91" t="str">
        <x:v>Cel deklarowanego ataku</x:v>
      </x:c>
      <x:c r="F13" s="119" t="n">
        <x:v>3</x:v>
      </x:c>
      <x:c r="G13" s="119" t="n">
        <x:v>5</x:v>
      </x:c>
      <x:c r="H13" s="119" t="n">
        <x:v>2</x:v>
      </x:c>
      <x:c r="I13" s="119" t="n">
        <x:f>'Balans — karty'!H20</x:f>
        <x:v>2</x:v>
      </x:c>
      <x:c r="J13" s="119" t="n">
        <x:f>'Balans — karty'!I20</x:f>
        <x:v>0</x:v>
      </x:c>
      <x:c r="K13" s="119" t="n">
        <x:f>'Balans — metoda'!$B$12</x:f>
        <x:v>3</x:v>
      </x:c>
      <x:c r="L13" s="121" t="n">
        <x:f>'Balans — metoda'!G7</x:f>
        <x:v>1.2000000000000002</x:v>
      </x:c>
      <x:c r="M13" s="121" t="n">
        <x:f>H13*L13</x:f>
        <x:v>2.4000000000000004</x:v>
      </x:c>
      <x:c r="N13" s="121" t="n">
        <x:f>(H13+INT($H$6/K13))*L13</x:f>
        <x:v>3.6000000000000005</x:v>
      </x:c>
      <x:c r="O13" s="122" t="str">
        <x:v>Test: 1 → 2 obrażenia</x:v>
      </x:c>
      <x:c r="P13" s="123" t="str">
        <x:v>1 obrażenie przed walką</x:v>
      </x:c>
      <x:c r="Q13" s="123" t="str">
        <x:v>Atakuje od następnej własnej tury</x:v>
      </x:c>
      <x:c r="R13" t="str">
        <x:f>'Balans — karty'!Q20</x:f>
        <x:v>Ofensywny</x:v>
      </x:c>
    </x:row>
    <x:row r="14" ht="49" customHeight="1">
      <x:c r="A14" s="91" t="str">
        <x:v>S21</x:v>
      </x:c>
      <x:c r="B14" s="91" t="str">
        <x:v>Potwory</x:v>
      </x:c>
      <x:c r="C14" s="91" t="str">
        <x:f>'Katalog kart'!D36</x:f>
        <x:v>Widmo Otchłani</x:v>
      </x:c>
      <x:c r="D14" s="91" t="str">
        <x:v>Przy śmierci</x:v>
      </x:c>
      <x:c r="E14" s="91" t="str">
        <x:v>Wrogi bohater</x:v>
      </x:c>
      <x:c r="F14" s="119" t="n">
        <x:v>3</x:v>
      </x:c>
      <x:c r="G14" s="119" t="n">
        <x:v>4</x:v>
      </x:c>
      <x:c r="H14" s="119" t="n">
        <x:v>4</x:v>
      </x:c>
      <x:c r="I14" s="119" t="n">
        <x:f>'Balans — karty'!H34</x:f>
        <x:v>2</x:v>
      </x:c>
      <x:c r="J14" s="119" t="n">
        <x:f>'Balans — karty'!I34</x:f>
        <x:v>0</x:v>
      </x:c>
      <x:c r="K14" s="119" t="n">
        <x:f>'Balans — metoda'!$B$12</x:f>
        <x:v>3</x:v>
      </x:c>
      <x:c r="L14" s="121" t="n">
        <x:f>'Balans — metoda'!G8</x:f>
        <x:v>0.6</x:v>
      </x:c>
      <x:c r="M14" s="121" t="n">
        <x:f>H14*L14</x:f>
        <x:v>2.4</x:v>
      </x:c>
      <x:c r="N14" s="121" t="n">
        <x:f>(H14+INT($H$6/K14))*L14</x:f>
        <x:v>3</x:v>
      </x:c>
      <x:c r="O14" s="122" t="str">
        <x:v>Bez zmiany efektu</x:v>
      </x:c>
      <x:c r="P14" s="123" t="str">
        <x:v>4 obrażenia wrogiemu bohaterowi</x:v>
      </x:c>
      <x:c r="Q14" s="123" t="str">
        <x:v>Zastąpienie i wyciszenie wyłączają efekt</x:v>
      </x:c>
      <x:c r="R14" t="str">
        <x:f>'Balans — karty'!Q34</x:f>
        <x:v>Ofensywny</x:v>
      </x:c>
    </x:row>
    <x:row r="15" ht="49" customHeight="1">
      <x:c r="A15" s="91" t="str">
        <x:v>S27</x:v>
      </x:c>
      <x:c r="B15" s="91" t="str">
        <x:v>Krasnoludy</x:v>
      </x:c>
      <x:c r="C15" s="91" t="str">
        <x:f>'Katalog kart'!D50</x:f>
        <x:v>Kusznik Runiczny</x:v>
      </x:c>
      <x:c r="D15" s="91" t="str">
        <x:v>Na koniec tury</x:v>
      </x:c>
      <x:c r="E15" s="91" t="str">
        <x:v>Wroga jednostka z najniższym HP</x:v>
      </x:c>
      <x:c r="F15" s="119" t="n">
        <x:v>2</x:v>
      </x:c>
      <x:c r="G15" s="119" t="n">
        <x:v>6</x:v>
      </x:c>
      <x:c r="H15" s="119" t="n">
        <x:v>1</x:v>
      </x:c>
      <x:c r="I15" s="119" t="n">
        <x:f>'Balans — karty'!H48</x:f>
        <x:v>1</x:v>
      </x:c>
      <x:c r="J15" s="119" t="n">
        <x:f>'Balans — karty'!I48</x:f>
        <x:v>1</x:v>
      </x:c>
      <x:c r="K15" s="119" t="n">
        <x:f>'Balans — metoda'!$B$12</x:f>
        <x:v>3</x:v>
      </x:c>
      <x:c r="L15" s="121" t="n">
        <x:f>'Balans — metoda'!G9</x:f>
        <x:v>2.5</x:v>
      </x:c>
      <x:c r="M15" s="121" t="n">
        <x:f>H15*L15</x:f>
        <x:v>2.5</x:v>
      </x:c>
      <x:c r="N15" s="121" t="n">
        <x:f>(H15+INT($H$6/K15))*L15</x:f>
        <x:v>5</x:v>
      </x:c>
      <x:c r="O15" s="122" t="str">
        <x:v>Bez zmiany efektu</x:v>
      </x:c>
      <x:c r="P15" s="123" t="str">
        <x:v>1 obrażenie na końcu tury</x:v>
      </x:c>
      <x:c r="Q15" s="123" t="str">
        <x:v>Działa także w turze wystawienia</x:v>
      </x:c>
      <x:c r="R15" t="str">
        <x:f>'Balans — karty'!Q48</x:f>
        <x:v>Zrównoważony</x:v>
      </x:c>
    </x:row>
    <x:row r="16" ht="49" customHeight="1">
      <x:c r="A16" s="91" t="str">
        <x:v>S103</x:v>
      </x:c>
      <x:c r="B16" s="91" t="str">
        <x:v>Ludzie</x:v>
      </x:c>
      <x:c r="C16" s="91" t="str">
        <x:f>'Katalog kart'!D64</x:f>
        <x:v>Weteran Odwetu</x:v>
      </x:c>
      <x:c r="D16" s="91" t="str">
        <x:v>Pasywna</x:v>
      </x:c>
      <x:c r="E16" s="91" t="str">
        <x:v>Jednostka atakująca posiadacza aury</x:v>
      </x:c>
      <x:c r="F16" s="119" t="n">
        <x:v>2</x:v>
      </x:c>
      <x:c r="G16" s="119" t="n">
        <x:v>5</x:v>
      </x:c>
      <x:c r="H16" s="119" t="n">
        <x:v>2</x:v>
      </x:c>
      <x:c r="I16" s="119" t="n">
        <x:f>'Balans — karty'!H62</x:f>
        <x:v>0</x:v>
      </x:c>
      <x:c r="J16" s="119" t="n">
        <x:f>'Balans — karty'!I62</x:f>
        <x:v>2</x:v>
      </x:c>
      <x:c r="K16" s="119" t="n">
        <x:f>'Balans — metoda'!$B$12</x:f>
        <x:v>3</x:v>
      </x:c>
      <x:c r="L16" s="121" t="n">
        <x:v>0.8</x:v>
      </x:c>
      <x:c r="M16" s="121" t="n">
        <x:f>H16*L16</x:f>
        <x:v>1.6</x:v>
      </x:c>
      <x:c r="N16" s="121" t="n">
        <x:f>(H16+INT($H$6/K16))*L16</x:f>
        <x:v>2.4000000000000004</x:v>
      </x:c>
      <x:c r="O16" s="122" t="str">
        <x:v>Test: 1 → 2 obrażenia</x:v>
      </x:c>
      <x:c r="P16" s="123" t="str">
        <x:v>1 obrażenie jednostce atakującej</x:v>
      </x:c>
      <x:c r="Q16" s="123" t="str">
        <x:v>Odwet zależy od decyzji przeciwnika</x:v>
      </x:c>
      <x:c r="R16" t="str">
        <x:f>'Balans — karty'!Q62</x:f>
        <x:v>Defensywny</x:v>
      </x:c>
    </x:row>
    <x:row r="18" ht="29" customHeight="1">
      <x:c r="A18" s="126" t="str">
        <x:v>* Prognozy liczbowe dla pięciu kart wzorcowych: +1 do siły efektu za każdy 3-tur. próg (hipoteza balansu). Wszystkie karty bez wyjątku osiągają kolejne poziomy zdolności co 3 tury.</x:v>
      </x:c>
      <x:c r="B18" s="126"/>
      <x:c r="C18" s="126"/>
      <x:c r="D18" s="126"/>
      <x:c r="E18" s="126"/>
      <x:c r="F18" s="126"/>
      <x:c r="G18" s="126"/>
      <x:c r="H18" s="126"/>
      <x:c r="I18" s="126"/>
      <x:c r="J18" s="126"/>
      <x:c r="K18" s="126"/>
      <x:c r="L18" s="126"/>
      <x:c r="M18" s="126"/>
      <x:c r="N18" s="126"/>
      <x:c r="O18" s="126"/>
      <x:c r="P18" s="126"/>
      <x:c r="Q18" s="126"/>
    </x:row>
    <x:row r="20" ht="29" customHeight="1">
      <x:c r="A20" s="115" t="str">
        <x:v>JAK ROŚNIE SIŁA KART PO 0 / 2 / 4 / 6 TURACH NA RĘCE</x:v>
      </x:c>
      <x:c r="B20" s="115"/>
      <x:c r="C20" s="115"/>
      <x:c r="D20" s="115"/>
      <x:c r="E20" s="115"/>
      <x:c r="F20" s="115"/>
      <x:c r="G20" s="115"/>
      <x:c r="H20" s="115"/>
      <x:c r="I20" s="115"/>
      <x:c r="J20" s="115"/>
      <x:c r="K20" s="115"/>
      <x:c r="L20" s="115"/>
      <x:c r="M20" s="115"/>
      <x:c r="N20" s="115"/>
    </x:row>
    <x:row r="21" ht="31" customHeight="1">
      <x:c r="A21" s="129" t="str">
        <x:v>ID</x:v>
      </x:c>
      <x:c r="B21" s="129" t="str">
        <x:v>Karta</x:v>
      </x:c>
      <x:c r="C21" s="129" t="str">
        <x:v>ATK T0</x:v>
      </x:c>
      <x:c r="D21" s="129" t="str">
        <x:v>HP T0</x:v>
      </x:c>
      <x:c r="E21" s="129" t="str">
        <x:v>Efekt T0</x:v>
      </x:c>
      <x:c r="F21" s="129" t="str">
        <x:v>ATK T2</x:v>
      </x:c>
      <x:c r="G21" s="129" t="str">
        <x:v>HP T2</x:v>
      </x:c>
      <x:c r="H21" s="129" t="str">
        <x:v>Efekt T2</x:v>
      </x:c>
      <x:c r="I21" s="129" t="str">
        <x:v>ATK T4</x:v>
      </x:c>
      <x:c r="J21" s="129" t="str">
        <x:v>HP T4</x:v>
      </x:c>
      <x:c r="K21" s="129" t="str">
        <x:v>Efekt T4</x:v>
      </x:c>
      <x:c r="L21" s="129" t="str">
        <x:v>ATK T6</x:v>
      </x:c>
      <x:c r="M21" s="129" t="str">
        <x:v>HP T6</x:v>
      </x:c>
      <x:c r="N21" s="129" t="str">
        <x:v>Efekt T6</x:v>
      </x:c>
    </x:row>
    <x:row r="22" ht="27" customHeight="1">
      <x:c r="A22" t="str">
        <x:f>A12</x:f>
        <x:v>S01</x:v>
      </x:c>
      <x:c r="B22" t="str">
        <x:f>'Katalog kart'!D8</x:f>
        <x:v>Mag Zorzy</x:v>
      </x:c>
      <x:c r="C22" s="130" t="n">
        <x:f>F12+(0)*I12</x:f>
        <x:v>3</x:v>
      </x:c>
      <x:c r="D22" s="130" t="n">
        <x:f>G12+(0)*J12</x:f>
        <x:v>5</x:v>
      </x:c>
      <x:c r="E22" s="130" t="n">
        <x:f>H12+INT((0)/K12)</x:f>
        <x:v>3</x:v>
      </x:c>
      <x:c r="F22" s="130" t="n">
        <x:f>F12+(2)*I12</x:f>
        <x:v>5</x:v>
      </x:c>
      <x:c r="G22" s="130" t="n">
        <x:f>G12+(2)*J12</x:f>
        <x:v>7</x:v>
      </x:c>
      <x:c r="H22" s="130" t="n">
        <x:f>H12+INT((2)/K12)</x:f>
        <x:v>3</x:v>
      </x:c>
      <x:c r="I22" s="130" t="n">
        <x:f>F12+(4)*I12</x:f>
        <x:v>7</x:v>
      </x:c>
      <x:c r="J22" s="130" t="n">
        <x:f>G12+(4)*J12</x:f>
        <x:v>9</x:v>
      </x:c>
      <x:c r="K22" s="130" t="n">
        <x:f>H12+INT((4)/K12)</x:f>
        <x:v>4</x:v>
      </x:c>
      <x:c r="L22" s="131" t="n">
        <x:f>F12+(6)*I12</x:f>
        <x:v>9</x:v>
      </x:c>
      <x:c r="M22" s="131" t="n">
        <x:f>G12+(6)*J12</x:f>
        <x:v>11</x:v>
      </x:c>
      <x:c r="N22" s="131" t="n">
        <x:f>H12+INT((6)/K12)</x:f>
        <x:v>5</x:v>
      </x:c>
    </x:row>
    <x:row r="23" ht="27" customHeight="1">
      <x:c r="A23" t="str">
        <x:f>A13</x:f>
        <x:v>S09</x:v>
      </x:c>
      <x:c r="B23" t="str">
        <x:f>'Katalog kart'!D22</x:f>
        <x:v>Wilk Szponiasty</x:v>
      </x:c>
      <x:c r="C23" s="130" t="n">
        <x:f>F13+(0)*I13</x:f>
        <x:v>3</x:v>
      </x:c>
      <x:c r="D23" s="130" t="n">
        <x:f>G13+(0)*J13</x:f>
        <x:v>5</x:v>
      </x:c>
      <x:c r="E23" s="130" t="n">
        <x:f>H13+INT((0)/K13)</x:f>
        <x:v>2</x:v>
      </x:c>
      <x:c r="F23" s="130" t="n">
        <x:f>F13+(2)*I13</x:f>
        <x:v>7</x:v>
      </x:c>
      <x:c r="G23" s="130" t="n">
        <x:f>G13+(2)*J13</x:f>
        <x:v>5</x:v>
      </x:c>
      <x:c r="H23" s="130" t="n">
        <x:f>H13+INT((2)/K13)</x:f>
        <x:v>2</x:v>
      </x:c>
      <x:c r="I23" s="130" t="n">
        <x:f>F13+(4)*I13</x:f>
        <x:v>11</x:v>
      </x:c>
      <x:c r="J23" s="130" t="n">
        <x:f>G13+(4)*J13</x:f>
        <x:v>5</x:v>
      </x:c>
      <x:c r="K23" s="130" t="n">
        <x:f>H13+INT((4)/K13)</x:f>
        <x:v>3</x:v>
      </x:c>
      <x:c r="L23" s="131" t="n">
        <x:f>F13+(6)*I13</x:f>
        <x:v>15</x:v>
      </x:c>
      <x:c r="M23" s="131" t="n">
        <x:f>G13+(6)*J13</x:f>
        <x:v>5</x:v>
      </x:c>
      <x:c r="N23" s="131" t="n">
        <x:f>H13+INT((6)/K13)</x:f>
        <x:v>4</x:v>
      </x:c>
    </x:row>
    <x:row r="24" ht="27" customHeight="1">
      <x:c r="A24" t="str">
        <x:f>A14</x:f>
        <x:v>S21</x:v>
      </x:c>
      <x:c r="B24" t="str">
        <x:f>'Katalog kart'!D39</x:f>
        <x:v>Krwawy Homunkulus</x:v>
      </x:c>
      <x:c r="C24" s="130" t="n">
        <x:f>F14+(0)*I14</x:f>
        <x:v>3</x:v>
      </x:c>
      <x:c r="D24" s="130" t="n">
        <x:f>G14+(0)*J14</x:f>
        <x:v>4</x:v>
      </x:c>
      <x:c r="E24" s="130" t="n">
        <x:f>H14+INT((0)/K14)</x:f>
        <x:v>4</x:v>
      </x:c>
      <x:c r="F24" s="130" t="n">
        <x:f>F14+(2)*I14</x:f>
        <x:v>7</x:v>
      </x:c>
      <x:c r="G24" s="130" t="n">
        <x:f>G14+(2)*J14</x:f>
        <x:v>4</x:v>
      </x:c>
      <x:c r="H24" s="130" t="n">
        <x:f>H14+INT((2)/K14)</x:f>
        <x:v>4</x:v>
      </x:c>
      <x:c r="I24" s="130" t="n">
        <x:f>F14+(4)*I14</x:f>
        <x:v>11</x:v>
      </x:c>
      <x:c r="J24" s="130" t="n">
        <x:f>G14+(4)*J14</x:f>
        <x:v>4</x:v>
      </x:c>
      <x:c r="K24" s="130" t="n">
        <x:f>H14+INT((4)/K14)</x:f>
        <x:v>5</x:v>
      </x:c>
      <x:c r="L24" s="131" t="n">
        <x:f>F14+(6)*I14</x:f>
        <x:v>15</x:v>
      </x:c>
      <x:c r="M24" s="131" t="n">
        <x:f>G14+(6)*J14</x:f>
        <x:v>4</x:v>
      </x:c>
      <x:c r="N24" s="131" t="n">
        <x:f>H14+INT((6)/K14)</x:f>
        <x:v>6</x:v>
      </x:c>
    </x:row>
    <x:row r="25" ht="27" customHeight="1">
      <x:c r="A25" t="str">
        <x:f>A15</x:f>
        <x:v>S27</x:v>
      </x:c>
      <x:c r="B25" t="str">
        <x:f>'Katalog kart'!D53</x:f>
        <x:v>Kowal Życiostali</x:v>
      </x:c>
      <x:c r="C25" s="130" t="n">
        <x:f>F15+(0)*I15</x:f>
        <x:v>2</x:v>
      </x:c>
      <x:c r="D25" s="130" t="n">
        <x:f>G15+(0)*J15</x:f>
        <x:v>6</x:v>
      </x:c>
      <x:c r="E25" s="130" t="n">
        <x:f>H15+INT((0)/K15)</x:f>
        <x:v>1</x:v>
      </x:c>
      <x:c r="F25" s="130" t="n">
        <x:f>F15+(2)*I15</x:f>
        <x:v>4</x:v>
      </x:c>
      <x:c r="G25" s="130" t="n">
        <x:f>G15+(2)*J15</x:f>
        <x:v>8</x:v>
      </x:c>
      <x:c r="H25" s="130" t="n">
        <x:f>H15+INT((2)/K15)</x:f>
        <x:v>1</x:v>
      </x:c>
      <x:c r="I25" s="130" t="n">
        <x:f>F15+(4)*I15</x:f>
        <x:v>6</x:v>
      </x:c>
      <x:c r="J25" s="130" t="n">
        <x:f>G15+(4)*J15</x:f>
        <x:v>10</x:v>
      </x:c>
      <x:c r="K25" s="130" t="n">
        <x:f>H15+INT((4)/K15)</x:f>
        <x:v>2</x:v>
      </x:c>
      <x:c r="L25" s="131" t="n">
        <x:f>F15+(6)*I15</x:f>
        <x:v>8</x:v>
      </x:c>
      <x:c r="M25" s="131" t="n">
        <x:f>G15+(6)*J15</x:f>
        <x:v>12</x:v>
      </x:c>
      <x:c r="N25" s="131" t="n">
        <x:f>H15+INT((6)/K15)</x:f>
        <x:v>3</x:v>
      </x:c>
    </x:row>
    <x:row r="26" ht="27" customHeight="1">
      <x:c r="A26" t="str">
        <x:f>A16</x:f>
        <x:v>S103</x:v>
      </x:c>
      <x:c r="B26" t="str">
        <x:f>'Katalog kart'!D68</x:f>
        <x:v>Zbrojmistrz Garnizonu</x:v>
      </x:c>
      <x:c r="C26" s="130" t="n">
        <x:f>F16+(0)*I16</x:f>
        <x:v>2</x:v>
      </x:c>
      <x:c r="D26" s="130" t="n">
        <x:f>G16+(0)*J16</x:f>
        <x:v>5</x:v>
      </x:c>
      <x:c r="E26" s="130" t="n">
        <x:f>H16+INT((0)/K16)</x:f>
        <x:v>2</x:v>
      </x:c>
      <x:c r="F26" s="130" t="n">
        <x:f>F16+(2)*I16</x:f>
        <x:v>2</x:v>
      </x:c>
      <x:c r="G26" s="130" t="n">
        <x:f>G16+(2)*J16</x:f>
        <x:v>9</x:v>
      </x:c>
      <x:c r="H26" s="130" t="n">
        <x:f>H16+INT((2)/K16)</x:f>
        <x:v>2</x:v>
      </x:c>
      <x:c r="I26" s="130" t="n">
        <x:f>F16+(4)*I16</x:f>
        <x:v>2</x:v>
      </x:c>
      <x:c r="J26" s="130" t="n">
        <x:f>G16+(4)*J16</x:f>
        <x:v>13</x:v>
      </x:c>
      <x:c r="K26" s="130" t="n">
        <x:f>H16+INT((4)/K16)</x:f>
        <x:v>3</x:v>
      </x:c>
      <x:c r="L26" s="131" t="n">
        <x:f>F16+(6)*I16</x:f>
        <x:v>2</x:v>
      </x:c>
      <x:c r="M26" s="131" t="n">
        <x:f>G16+(6)*J16</x:f>
        <x:v>17</x:v>
      </x:c>
      <x:c r="N26" s="131" t="n">
        <x:f>H16+INT((6)/K16)</x:f>
        <x:v>4</x:v>
      </x:c>
    </x:row>
    <x:row r="29" ht="28" customHeight="1">
      <x:c r="A29" s="115" t="str">
        <x:v>PROCEDURA WALIDACJI BALANSU</x:v>
      </x:c>
      <x:c r="B29" s="115"/>
      <x:c r="C29" s="115"/>
      <x:c r="D29" s="115"/>
      <x:c r="E29" s="115"/>
      <x:c r="F29" s="115"/>
      <x:c r="G29" s="115"/>
      <x:c r="H29" s="115"/>
      <x:c r="I29" s="115"/>
      <x:c r="J29" s="115"/>
      <x:c r="K29" s="115"/>
      <x:c r="L29" s="115"/>
      <x:c r="M29" s="115"/>
      <x:c r="N29" s="115"/>
      <x:c r="O29" s="115"/>
      <x:c r="P29" s="115"/>
      <x:c r="Q29" s="115"/>
    </x:row>
    <x:row r="30">
      <x:c r="A30" s="132" t="str">
        <x:v>#</x:v>
      </x:c>
      <x:c r="B30" s="132" t="str">
        <x:v>Test</x:v>
      </x:c>
      <x:c r="C30" s="132" t="str">
        <x:v>Scenariusz</x:v>
      </x:c>
      <x:c r="D30" s="132" t="str">
        <x:v>Metryki / obserwacje</x:v>
      </x:c>
    </x:row>
    <x:row r="31" ht="47" customHeight="1">
      <x:c r="A31" s="133" t="str">
        <x:v>1</x:v>
      </x:c>
      <x:c r="B31" s="133" t="str">
        <x:v>Test 0/2/4/6</x:v>
      </x:c>
      <x:c r="C31" s="133" t="str">
        <x:v>Rozegraj lub zasymuluj warianty z zagraniem bez przetrzymania oraz po 2, 4 i 6 własnych turach na ręce.</x:v>
      </x:c>
      <x:c r="D31" s="133" t="str">
        <x:v>Porównaj obrażenia, liczbę aktywacji, przeżywalność i siłę po pierwszych aukcjach.</x:v>
      </x:c>
    </x:row>
    <x:row r="32" ht="47" customHeight="1">
      <x:c r="A32" s="133" t="str">
        <x:v>2</x:v>
      </x:c>
      <x:c r="B32" s="133" t="str">
        <x:v>Pary frakcji</x:v>
      </x:c>
      <x:c r="C32" s="133" t="str">
        <x:v>Każda karta wzorcowa przeciw pozostałym czterem, z obu pozycji w kolejności graczy.</x:v>
      </x:c>
      <x:c r="D32" s="133" t="str">
        <x:v>Rejestruj wygrane, czas gry, najczęstsze zagrania, odsetek nieaktywnych zdolności.</x:v>
      </x:c>
    </x:row>
    <x:row r="33" ht="47" customHeight="1">
      <x:c r="A33" s="133" t="str">
        <x:v>3</x:v>
      </x:c>
      <x:c r="B33" s="133" t="str">
        <x:v>Przy śmierci</x:v>
      </x:c>
      <x:c r="C33" s="133" t="str">
        <x:v>Dla Upiora przetestuj śmierć w walce, zastąpienie i wyciszenie.</x:v>
      </x:c>
      <x:c r="D33" s="133" t="str">
        <x:v>Nie licz efektu śmierci, gdy nie jest uruchamiany.</x:v>
      </x:c>
    </x:row>
    <x:row r="34" ht="47" customHeight="1">
      <x:c r="A34" s="133" t="str">
        <x:v>4</x:v>
      </x:c>
      <x:c r="B34" s="133" t="str">
        <x:v>Taunt i cel ataku</x:v>
      </x:c>
      <x:c r="C34" s="133" t="str">
        <x:v>Sprawdź Bestię przeciw prowokacji oraz Upiora z obrażeniami w bohatera.</x:v>
      </x:c>
      <x:c r="D34" s="133" t="str">
        <x:v>Wykryj istotne przewagi wynikające z ograniczeń celu.</x:v>
      </x:c>
    </x:row>
    <x:row r="35" ht="47" customHeight="1">
      <x:c r="A35" s="133" t="str">
        <x:v>5</x:v>
      </x:c>
      <x:c r="B35" s="133" t="str">
        <x:v>Pasywny odwet</x:v>
      </x:c>
      <x:c r="C35" s="133" t="str">
        <x:v>Testuj Ludzi przy 0, 1 i 3 atakach skierowanych w jednostkę.</x:v>
      </x:c>
      <x:c r="D35" s="133" t="str">
        <x:v>Ocena ryzyka i psychologicznej wartości odstraszania, nie tylko suma obrażeń.</x:v>
      </x:c>
    </x:row>
    <x:row r="36" ht="47" customHeight="1">
      <x:c r="A36" s="133" t="str">
        <x:v>6</x:v>
      </x:c>
      <x:c r="B36" s="133" t="str">
        <x:v>Kumulowanie na planszy</x:v>
      </x:c>
      <x:c r="C36" s="133" t="str">
        <x:v>Testuj dwie kopie tego samego archetypu na jednej planszy.</x:v>
      </x:c>
      <x:c r="D36" s="133" t="str">
        <x:v>Sprawdź nadmierną przewagę przy nałożeniu kilku podobnych efektów.</x:v>
      </x:c>
    </x:row>
    <x:row r="38" ht="32" customHeight="1">
      <x:c r="A38" s="135" t="str">
        <x:v>Zakres: zachowujemy 75 archetypów podstawowych. Kopie fizyczne puli startowej pozostają do ustalenia. Karty aukcyjne będą wykorzystywały nowe, odrębne mechaniki.</x:v>
      </x:c>
      <x:c r="B38" s="135"/>
      <x:c r="C38" s="135"/>
      <x:c r="D38" s="135"/>
      <x:c r="E38" s="135"/>
      <x:c r="F38" s="135"/>
      <x:c r="G38" s="135"/>
      <x:c r="H38" s="135"/>
      <x:c r="I38" s="135"/>
      <x:c r="J38" s="135"/>
      <x:c r="K38" s="135"/>
      <x:c r="L38" s="135"/>
      <x:c r="M38" s="135"/>
      <x:c r="N38" s="135"/>
      <x:c r="O38" s="135"/>
      <x:c r="P38" s="135"/>
      <x:c r="Q38" s="135"/>
    </x:row>
  </x:sheetData>
  <x:mergeCells>
    <x:mergeCell ref="A1:Q2"/>
    <x:mergeCell ref="A4:Q4"/>
    <x:mergeCell ref="A18:Q18"/>
    <x:mergeCell ref="A20:N20"/>
    <x:mergeCell ref="A29:Q29"/>
    <x:mergeCell ref="A38:Q38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26" hidden="0" customWidth="1"/>
    <x:col min="2" max="2" width="22" hidden="0" customWidth="1"/>
    <x:col min="3" max="3" width="66" hidden="0" customWidth="1"/>
    <x:col min="4" max="4" width="40" hidden="0" customWidth="1"/>
    <x:col min="5" max="5" width="12" hidden="0" customWidth="1"/>
    <x:col min="6" max="6" width="12" hidden="0" customWidth="1"/>
    <x:col min="7" max="7" width="12" hidden="0" customWidth="1"/>
  </x:cols>
  <x:sheetData>
    <x:row r="1">
      <x:c r="A1" s="137" t="str">
        <x:v>AUKCJE • OSOBNY KATALOG MECHANIK</x:v>
      </x:c>
      <x:c r="B1" s="137"/>
      <x:c r="C1" s="137"/>
      <x:c r="D1" s="137"/>
      <x:c r="E1" s="137"/>
      <x:c r="F1" s="137"/>
      <x:c r="G1" s="137"/>
    </x:row>
    <x:row r="2">
      <x:c r="A2" s="137"/>
      <x:c r="B2" s="137"/>
      <x:c r="C2" s="137"/>
      <x:c r="D2" s="137"/>
      <x:c r="E2" s="137"/>
      <x:c r="F2" s="137"/>
      <x:c r="G2" s="137"/>
    </x:row>
    <x:row r="4" ht="38" customHeight="1">
      <x:c r="A4" s="139" t="str">
        <x:v>75 kart podstawowych koncentruje się na uzgodnionej macierzy 5 frakcji × 14 rodzin efektów; poniższe mechaniki zachowujemy na osobną bibliotekę 36 archetypów aukcyjnych.</x:v>
      </x:c>
      <x:c r="B4" s="139"/>
      <x:c r="C4" s="139"/>
      <x:c r="D4" s="139"/>
      <x:c r="E4" s="139"/>
      <x:c r="F4" s="139"/>
      <x:c r="G4" s="139"/>
    </x:row>
    <x:row r="6" ht="26" customHeight="1">
      <x:c r="A6" s="115" t="str">
        <x:v>Mechanika</x:v>
      </x:c>
      <x:c r="B6" s="115" t="str">
        <x:v>W zestawie startowym?</x:v>
      </x:c>
      <x:c r="C6" s="115" t="str">
        <x:v>Kierunek kart aukcyjnych</x:v>
      </x:c>
      <x:c r="D6" s="115" t="str">
        <x:v>Status projektu</x:v>
      </x:c>
    </x:row>
    <x:row r="7" ht="46" customHeight="1">
      <x:c r="A7" s="140" t="str">
        <x:v>Kopiowanie</x:v>
      </x:c>
      <x:c r="B7" s="140" t="str">
        <x:v>Nie</x:v>
      </x:c>
      <x:c r="C7" s="140" t="str">
        <x:v>Kopie bazowe / rzadkie / legendarne wg wcześniej zatwierdzonych zasad</x:v>
      </x:c>
      <x:c r="D7" s="140" t="str">
        <x:v>Zasady zdefiniowane; balans nieustalony</x:v>
      </x:c>
    </x:row>
    <x:row r="8" ht="46" customHeight="1">
      <x:c r="A8" s="140" t="str">
        <x:v>Przejęcie</x:v>
      </x:c>
      <x:c r="B8" s="140" t="str">
        <x:v>Nie</x:v>
      </x:c>
      <x:c r="C8" s="140" t="str">
        <x:v>Trwała zmiana właściciela, wymaga miejsca na planszy</x:v>
      </x:c>
      <x:c r="D8" s="140" t="str">
        <x:v>Zasady zdefiniowane; balans nieustalony</x:v>
      </x:c>
    </x:row>
    <x:row r="9" ht="46" customHeight="1">
      <x:c r="A9" s="140" t="str">
        <x:v>Wskrzeszenie</x:v>
      </x:c>
      <x:c r="B9" s="140" t="str">
        <x:v>Nie</x:v>
      </x:c>
      <x:c r="C9" s="140" t="str">
        <x:v>Wskrzeszenie bezpośrednio na planszę; bez aktywacji Przy wystawieniu</x:v>
      </x:c>
      <x:c r="D9" s="140" t="str">
        <x:v>Zasady zdefiniowane; balans nieustalony</x:v>
      </x:c>
    </x:row>
    <x:row r="10" ht="46" customHeight="1">
      <x:c r="A10" s="140" t="str">
        <x:v>Dobieranie</x:v>
      </x:c>
      <x:c r="B10" s="140" t="str">
        <x:v>Nie</x:v>
      </x:c>
      <x:c r="C10" s="140" t="str">
        <x:v>Dodatkowe karty na ręce jako efekt aukcyjny</x:v>
      </x:c>
      <x:c r="D10" s="140" t="str">
        <x:v>Do zaprojektowania</x:v>
      </x:c>
    </x:row>
    <x:row r="11" ht="46" customHeight="1">
      <x:c r="A11" s="140" t="str">
        <x:v>Redukcja obrażeń</x:v>
      </x:c>
      <x:c r="B11" s="140" t="str">
        <x:v>Nie</x:v>
      </x:c>
      <x:c r="C11" s="140" t="str">
        <x:v>Zdolności ochronne, także pasywne</x:v>
      </x:c>
      <x:c r="D11" s="140" t="str">
        <x:v>Do zaprojektowania</x:v>
      </x:c>
    </x:row>
    <x:row r="12" ht="46" customHeight="1">
      <x:c r="A12" s="140" t="str">
        <x:v>Monety i zdolności płatne</x:v>
      </x:c>
      <x:c r="B12" s="140" t="str">
        <x:v>Nie</x:v>
      </x:c>
      <x:c r="C12" s="140" t="str">
        <x:v>Podstawowa raz na mecz; rzadka raz na turę; legendarna wielokrotnie</x:v>
      </x:c>
      <x:c r="D12" s="140" t="str">
        <x:v>Zasady limitów określone</x:v>
      </x:c>
    </x:row>
    <x:row r="14">
      <x:c r="A14" s="141" t="str">
        <x:v>Losowanie rzadkości</x:v>
      </x:c>
      <x:c r="B14" t="str">
        <x:v>Podstawowa 60% / Rzadka 30% / Legendarna 10%</x:v>
      </x:c>
    </x:row>
    <x:row r="15">
      <x:c r="A15" s="141" t="str">
        <x:v>Pula aukcyjna</x:v>
      </x:c>
      <x:c r="B15" t="str">
        <x:v>36 archetypów, każdy w 3 wariantach rzadkości (108 wersji)</x:v>
      </x:c>
    </x:row>
    <x:row r="16">
      <x:c r="A16" s="141" t="str">
        <x:v>Poziom aukcji</x:v>
      </x:c>
      <x:c r="B16" t="str">
        <x:v>Statystyki i wartości liczbowe rosną z poziomem aukcji</x:v>
      </x:c>
    </x:row>
  </x:sheetData>
  <x:mergeCells>
    <x:mergeCell ref="A1:G2"/>
    <x:mergeCell ref="A4:G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19" hidden="0" customWidth="1"/>
    <x:col min="3" max="3" width="19" hidden="0" customWidth="1"/>
    <x:col min="4" max="4" width="19" hidden="0" customWidth="1"/>
    <x:col min="5" max="5" width="62" hidden="0" customWidth="1"/>
    <x:col min="8" max="8" width="14" hidden="0" customWidth="1"/>
  </x:cols>
  <x:sheetData>
    <x:row r="1" ht="30" customHeight="1">
      <x:c r="A1" s="144" t="str">
        <x:v>SKALOWANIE KART PODSTAWOWYCH • REGUŁA ZATWIERDZONA</x:v>
      </x:c>
      <x:c r="B1" s="144"/>
      <x:c r="C1" s="144"/>
      <x:c r="D1" s="144"/>
      <x:c r="E1" s="144"/>
      <x:c r="F1" s="144"/>
      <x:c r="G1" s="144"/>
      <x:c r="H1" s="144"/>
    </x:row>
    <x:row r="3" ht="44" customHeight="1">
      <x:c r="A3" s="91" t="str">
        <x:v>Co turę w ręce: +2 do ATK/MAX HP według profilu. Co 3 tury: ulepszenie zdolności; dla czterech cech konkretne dodatkowe premie ATK/HP są już zatwierdzone.</x:v>
      </x:c>
      <x:c r="B3" s="91"/>
      <x:c r="C3" s="91"/>
      <x:c r="D3" s="91"/>
      <x:c r="E3" s="91"/>
      <x:c r="F3" s="91"/>
      <x:c r="G3" s="91"/>
      <x:c r="H3" s="91"/>
    </x:row>
    <x:row r="5" ht="28" customHeight="1">
      <x:c r="A5" s="144" t="str">
        <x:v>Profil</x:v>
      </x:c>
      <x:c r="B5" s="144" t="str">
        <x:v>ATK / turę</x:v>
      </x:c>
      <x:c r="C5" s="144" t="str">
        <x:v>MAX HP / turę</x:v>
      </x:c>
      <x:c r="D5" s="144" t="str">
        <x:v>Suma / turę</x:v>
      </x:c>
      <x:c r="E5" s="144" t="str">
        <x:v>Kiedy korzystać (propozycja)</x:v>
      </x:c>
    </x:row>
    <x:row r="6">
      <x:c r="A6" t="str">
        <x:v>Ofensywny</x:v>
      </x:c>
      <x:c r="B6" s="148" t="n">
        <x:v>2</x:v>
      </x:c>
      <x:c r="C6" s="148" t="n">
        <x:v>0</x:v>
      </x:c>
      <x:c r="D6" s="148" t="n">
        <x:v>2</x:v>
      </x:c>
      <x:c r="E6" t="str">
        <x:v>Jednostki skupione na zadawaniu obrażeń lub atakach</x:v>
      </x:c>
    </x:row>
    <x:row r="7">
      <x:c r="A7" t="str">
        <x:v>Zrównoważony</x:v>
      </x:c>
      <x:c r="B7" s="148" t="n">
        <x:v>1</x:v>
      </x:c>
      <x:c r="C7" s="148" t="n">
        <x:v>1</x:v>
      </x:c>
      <x:c r="D7" s="148" t="n">
        <x:v>2</x:v>
      </x:c>
      <x:c r="E7" t="str">
        <x:v>Jednostki uniwersalne i kontrolujące przebieg walki</x:v>
      </x:c>
    </x:row>
    <x:row r="8">
      <x:c r="A8" t="str">
        <x:v>Defensywny</x:v>
      </x:c>
      <x:c r="B8" s="148" t="n">
        <x:v>0</x:v>
      </x:c>
      <x:c r="C8" s="148" t="n">
        <x:v>2</x:v>
      </x:c>
      <x:c r="D8" s="148" t="n">
        <x:v>2</x:v>
      </x:c>
      <x:c r="E8" t="str">
        <x:v>Jednostki wsparcia, ochrony i przetrwania</x:v>
      </x:c>
    </x:row>
    <x:row r="11" ht="24" customHeight="1">
      <x:c r="A11" s="144" t="str">
        <x:v>Własne tury w ręce</x:v>
      </x:c>
      <x:c r="B11" s="144" t="n">
        <x:v>0</x:v>
      </x:c>
      <x:c r="C11" s="144" t="n">
        <x:v>1</x:v>
      </x:c>
      <x:c r="D11" s="144" t="n">
        <x:v>2</x:v>
      </x:c>
      <x:c r="E11" s="144" t="n">
        <x:v>3</x:v>
      </x:c>
      <x:c r="F11" s="144" t="n">
        <x:v>4</x:v>
      </x:c>
      <x:c r="G11" s="144" t="n">
        <x:v>6</x:v>
      </x:c>
      <x:c r="H11" s="144" t="n">
        <x:v>9</x:v>
      </x:c>
    </x:row>
    <x:row r="12">
      <x:c r="A12" t="str">
        <x:v>Liczba ulepszeń zdolności</x:v>
      </x:c>
      <x:c r="B12" t="n">
        <x:f>INT(B11/'Balans — metoda'!$B$12)</x:f>
        <x:v>0</x:v>
      </x:c>
      <x:c r="C12" t="n">
        <x:f>INT(C11/'Balans — metoda'!$B$12)</x:f>
        <x:v>0</x:v>
      </x:c>
      <x:c r="D12" t="n">
        <x:f>INT(D11/'Balans — metoda'!$B$12)</x:f>
        <x:v>0</x:v>
      </x:c>
      <x:c r="E12" t="n">
        <x:f>INT(E11/'Balans — metoda'!$B$12)</x:f>
        <x:v>1</x:v>
      </x:c>
      <x:c r="F12" t="n">
        <x:f>INT(F11/'Balans — metoda'!$B$12)</x:f>
        <x:v>1</x:v>
      </x:c>
      <x:c r="G12" t="n">
        <x:f>INT(G11/'Balans — metoda'!$B$12)</x:f>
        <x:v>2</x:v>
      </x:c>
      <x:c r="H12" t="n">
        <x:f>INT(H11/'Balans — metoda'!$B$12)</x:f>
        <x:v>3</x:v>
      </x:c>
    </x:row>
    <x:row r="14" ht="28" customHeight="1">
      <x:c r="A14" s="144" t="str">
        <x:v>Rodzina efektu</x:v>
      </x:c>
      <x:c r="B14" s="144" t="str">
        <x:v>Liczba kart</x:v>
      </x:c>
      <x:c r="C14" s="144" t="str">
        <x:v>Rytm wzmocnienia</x:v>
      </x:c>
      <x:c r="D14" s="144" t="str">
        <x:v>Proponowany charakter wzmocnienia</x:v>
      </x:c>
      <x:c r="E14" s="144" t="str">
        <x:v>Status definicji</x:v>
      </x:c>
    </x:row>
    <x:row r="15" ht="31" customHeight="1">
      <x:c r="A15" s="91" t="str">
        <x:v>ATK ±</x:v>
      </x:c>
      <x:c r="B15" s="91" t="n">
        <x:f>COUNTIF('Katalog kart'!$C$8:$C$77,A15)</x:f>
        <x:v>5</x:v>
      </x:c>
      <x:c r="C15" s="91" t="str">
        <x:v>Co 3 własne tury w ręce</x:v>
      </x:c>
      <x:c r="D15" s="91" t="str">
        <x:v>Co 3 tury większa wartość liczbowa zdolności; konkretna skala do balansu.</x:v>
      </x:c>
      <x:c r="E15" s="91" t="str">
        <x:v>Przyrost liczbowy: do kalibracji</x:v>
      </x:c>
    </x:row>
    <x:row r="16" ht="31" customHeight="1">
      <x:c r="A16" s="91" t="str">
        <x:v>Leczenie</x:v>
      </x:c>
      <x:c r="B16" s="91" t="n">
        <x:f>COUNTIF('Katalog kart'!$C$8:$C$77,A16)</x:f>
        <x:v>5</x:v>
      </x:c>
      <x:c r="C16" s="91" t="str">
        <x:v>Co 3 własne tury w ręce</x:v>
      </x:c>
      <x:c r="D16" s="91" t="str">
        <x:v>Co 3 tury większa wartość liczbowa zdolności; konkretna skala do balansu.</x:v>
      </x:c>
      <x:c r="E16" s="91" t="str">
        <x:v>Przyrost liczbowy: do kalibracji</x:v>
      </x:c>
    </x:row>
    <x:row r="17" ht="31" customHeight="1">
      <x:c r="A17" s="91" t="str">
        <x:v>MAX HP ±</x:v>
      </x:c>
      <x:c r="B17" s="91" t="n">
        <x:f>COUNTIF('Katalog kart'!$C$8:$C$77,A17)</x:f>
        <x:v>5</x:v>
      </x:c>
      <x:c r="C17" s="91" t="str">
        <x:v>Co 3 własne tury w ręce</x:v>
      </x:c>
      <x:c r="D17" s="91" t="str">
        <x:v>Co 3 tury większa wartość liczbowa zdolności; konkretna skala do balansu.</x:v>
      </x:c>
      <x:c r="E17" s="91" t="str">
        <x:v>Przyrost liczbowy: do kalibracji</x:v>
      </x:c>
    </x:row>
    <x:row r="18" ht="31" customHeight="1">
      <x:c r="A18" s="91" t="str">
        <x:v>Obrażenia</x:v>
      </x:c>
      <x:c r="B18" s="91" t="n">
        <x:f>COUNTIF('Katalog kart'!$C$8:$C$77,A18)</x:f>
        <x:v>5</x:v>
      </x:c>
      <x:c r="C18" s="91" t="str">
        <x:v>Co 3 własne tury w ręce</x:v>
      </x:c>
      <x:c r="D18" s="91" t="str">
        <x:v>Co 3 tury większa wartość liczbowa zdolności; konkretna skala do balansu.</x:v>
      </x:c>
      <x:c r="E18" s="91" t="str">
        <x:v>Przyrost liczbowy: do kalibracji</x:v>
      </x:c>
    </x:row>
    <x:row r="19" ht="31" customHeight="1">
      <x:c r="A19" s="91" t="str">
        <x:v>Oczyszczanie</x:v>
      </x:c>
      <x:c r="B19" s="91" t="n">
        <x:f>COUNTIF('Katalog kart'!$C$8:$C$77,A19)</x:f>
        <x:v>5</x:v>
      </x:c>
      <x:c r="C19" s="91" t="str">
        <x:v>Co 3 własne tury w ręce</x:v>
      </x:c>
      <x:c r="D19" s="91" t="str">
        <x:v>Co 3 tury mocniejsza wersja efektu; sposób wzrostu nie jest jeszcze wybrany.</x:v>
      </x:c>
      <x:c r="E19" s="91" t="str">
        <x:v>Do zaprojektowania</x:v>
      </x:c>
    </x:row>
    <x:row r="20" ht="31" customHeight="1">
      <x:c r="A20" s="91" t="str">
        <x:v>Odporność</x:v>
      </x:c>
      <x:c r="B20" s="91" t="n">
        <x:f>COUNTIF('Katalog kart'!$C$8:$C$77,A20)</x:f>
        <x:v>5</x:v>
      </x:c>
      <x:c r="C20" s="91" t="str">
        <x:v>Co 3 własne tury w ręce</x:v>
      </x:c>
      <x:c r="D20" s="91" t="str">
        <x:v>Co 3 tury mocniejsza wersja efektu; sposób wzrostu nie jest jeszcze wybrany.</x:v>
      </x:c>
      <x:c r="E20" s="91" t="str">
        <x:v>Do zaprojektowania</x:v>
      </x:c>
    </x:row>
    <x:row r="21" ht="31" customHeight="1">
      <x:c r="A21" s="91" t="str">
        <x:v>Ogłuszenie</x:v>
      </x:c>
      <x:c r="B21" s="91" t="n">
        <x:f>COUNTIF('Katalog kart'!$C$8:$C$77,A21)</x:f>
        <x:v>5</x:v>
      </x:c>
      <x:c r="C21" s="91" t="str">
        <x:v>Co 3 własne tury w ręce</x:v>
      </x:c>
      <x:c r="D21" s="91" t="str">
        <x:v>Co 3 tury silniejsze ogłuszenie; np. czas trwania, ale wymaga testów.</x:v>
      </x:c>
      <x:c r="E21" s="91" t="str">
        <x:v>Do zaprojektowania</x:v>
      </x:c>
    </x:row>
    <x:row r="22" ht="31" customHeight="1">
      <x:c r="A22" s="91" t="str">
        <x:v>Pancerz</x:v>
      </x:c>
      <x:c r="B22" s="91" t="n">
        <x:f>COUNTIF('Katalog kart'!$C$8:$C$77,A22)</x:f>
        <x:v>5</x:v>
      </x:c>
      <x:c r="C22" s="91" t="str">
        <x:v>Co 3 własne tury w ręce</x:v>
      </x:c>
      <x:c r="D22" s="91" t="str">
        <x:v>Co 3 tury większa wartość liczbowa zdolności; konkretna skala do balansu.</x:v>
      </x:c>
      <x:c r="E22" s="91" t="str">
        <x:v>Przyrost liczbowy: do kalibracji</x:v>
      </x:c>
    </x:row>
    <x:row r="23" ht="31" customHeight="1">
      <x:c r="A23" s="91" t="str">
        <x:v>Podwójny atak</x:v>
      </x:c>
      <x:c r="B23" s="91" t="n">
        <x:f>COUNTIF('Katalog kart'!$C$8:$C$77,A23)</x:f>
        <x:v>5</x:v>
      </x:c>
      <x:c r="C23" s="91" t="str">
        <x:v>Co 3 własne tury w ręce</x:v>
      </x:c>
      <x:c r="D23" s="91" t="str">
        <x:v>Co 3 własne tury na ręce: dodatkowo +2 ATK.</x:v>
      </x:c>
      <x:c r="E23" s="91" t="str">
        <x:v>Ustalone — bonus statystyk</x:v>
      </x:c>
    </x:row>
    <x:row r="24" ht="31" customHeight="1">
      <x:c r="A24" s="91" t="str">
        <x:v>Prowokacja</x:v>
      </x:c>
      <x:c r="B24" s="91" t="n">
        <x:f>COUNTIF('Katalog kart'!$C$8:$C$77,A24)</x:f>
        <x:v>5</x:v>
      </x:c>
      <x:c r="C24" s="91" t="str">
        <x:v>Co 3 własne tury w ręce</x:v>
      </x:c>
      <x:c r="D24" s="91" t="str">
        <x:v>Co 3 własne tury na ręce: dodatkowo +3 MAX HP.</x:v>
      </x:c>
      <x:c r="E24" s="91" t="str">
        <x:v>Ustalone — bonus statystyk</x:v>
      </x:c>
    </x:row>
    <x:row r="25" ht="31" customHeight="1">
      <x:c r="A25" s="91" t="str">
        <x:v>Regeneracja</x:v>
      </x:c>
      <x:c r="B25" s="91" t="n">
        <x:f>COUNTIF('Katalog kart'!$C$8:$C$77,A25)</x:f>
        <x:v>5</x:v>
      </x:c>
      <x:c r="C25" s="91" t="str">
        <x:v>Co 3 własne tury w ręce</x:v>
      </x:c>
      <x:c r="D25" s="91" t="str">
        <x:v>Co 3 tury większa wartość liczbowa zdolności; konkretna skala do balansu.</x:v>
      </x:c>
      <x:c r="E25" s="91" t="str">
        <x:v>Przyrost liczbowy: do kalibracji</x:v>
      </x:c>
    </x:row>
    <x:row r="26" ht="31" customHeight="1">
      <x:c r="A26" s="91" t="str">
        <x:v>Szybki atak</x:v>
      </x:c>
      <x:c r="B26" s="91" t="n">
        <x:f>COUNTIF('Katalog kart'!$C$8:$C$77,A26)</x:f>
        <x:v>5</x:v>
      </x:c>
      <x:c r="C26" s="91" t="str">
        <x:v>Co 3 własne tury w ręce</x:v>
      </x:c>
      <x:c r="D26" s="91" t="str">
        <x:v>Co 3 własne tury na ręce: dodatkowo +2 ATK oraz +1 MAX HP.</x:v>
      </x:c>
      <x:c r="E26" s="91" t="str">
        <x:v>Ustalone — bonus statystyk</x:v>
      </x:c>
    </x:row>
    <x:row r="27" ht="31" customHeight="1">
      <x:c r="A27" s="91" t="str">
        <x:v>Tarcza</x:v>
      </x:c>
      <x:c r="B27" s="91" t="n">
        <x:f>COUNTIF('Katalog kart'!$C$8:$C$77,A27)</x:f>
        <x:v>5</x:v>
      </x:c>
      <x:c r="C27" s="91" t="str">
        <x:v>Co 3 własne tury w ręce</x:v>
      </x:c>
      <x:c r="D27" s="91" t="str">
        <x:v>Co 3 własne tury na ręce: dodatkowo +3 MAX HP.</x:v>
      </x:c>
      <x:c r="E27" s="91" t="str">
        <x:v>Ustalone — bonus statystyk</x:v>
      </x:c>
    </x:row>
    <x:row r="28" ht="31" customHeight="1">
      <x:c r="A28" s="91" t="str">
        <x:v>Trucizna</x:v>
      </x:c>
      <x:c r="B28" s="91" t="n">
        <x:f>COUNTIF('Katalog kart'!$C$8:$C$77,A28)</x:f>
        <x:v>5</x:v>
      </x:c>
      <x:c r="C28" s="91" t="str">
        <x:v>Co 3 własne tury w ręce</x:v>
      </x:c>
      <x:c r="D28" s="91" t="str">
        <x:v>Co 3 tury większa wartość liczbowa zdolności; konkretna skala do balansu.</x:v>
      </x:c>
      <x:c r="E28" s="91" t="str">
        <x:v>Przyrost liczbowy: do kalibracji</x:v>
      </x:c>
    </x:row>
    <x:row r="32" ht="46" customHeight="1">
      <x:c r="A32" s="149" t="str">
        <x:v>ZATWIERDZONE: Szybki atak +2 ATK/+1 HP; Podwójny atak +2 ATK; Tarcza i Prowokacja +3 HP co 3 tury. To premie dodatkowe do zwykłego skalowania +2 pkt/turę.</x:v>
      </x:c>
      <x:c r="B32" s="149"/>
      <x:c r="C32" s="149"/>
      <x:c r="D32" s="149"/>
      <x:c r="E32" s="149"/>
    </x:row>
    <x:row r="33" ht="46" customHeight="1">
      <x:c r="A33" s="149"/>
      <x:c r="B33" s="149"/>
      <x:c r="C33" s="149"/>
      <x:c r="D33" s="149"/>
      <x:c r="E33" s="149"/>
    </x:row>
  </x:sheetData>
  <x:mergeCells>
    <x:mergeCell ref="A1:H1"/>
    <x:mergeCell ref="A3:H3"/>
    <x:mergeCell ref="A32:E3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7" hidden="0" customWidth="1"/>
    <x:col min="3" max="3" width="17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154" t="str">
        <x:v>ULEPSZENIA CECH  |  CO 3 TURY NA RĘCE</x:v>
      </x:c>
      <x:c r="B1" s="154"/>
      <x:c r="C1" s="154"/>
      <x:c r="D1" s="154"/>
      <x:c r="E1" s="154"/>
      <x:c r="F1" s="154"/>
      <x:c r="G1" s="154"/>
      <x:c r="H1" s="154"/>
    </x:row>
    <x:row r="2">
      <x:c r="A2" s="154"/>
      <x:c r="B2" s="154"/>
      <x:c r="C2" s="154"/>
      <x:c r="D2" s="154"/>
      <x:c r="E2" s="154"/>
      <x:c r="F2" s="154"/>
      <x:c r="G2" s="154"/>
      <x:c r="H2" s="154"/>
    </x:row>
    <x:row r="3">
      <x:c r="A3" t="str">
        <x:v>Dodatkowe przyrosty statystyk są niezależne od zwykłego +2 ATK/MAX HP co turę i kumulują się z nim.</x:v>
      </x:c>
    </x:row>
    <x:row r="5" ht="28" customHeight="1">
      <x:c r="A5" s="156" t="str">
        <x:v>Rodzina efektu</x:v>
      </x:c>
      <x:c r="B5" s="156" t="str">
        <x:v>Dodatkowy ATK / 3 tury</x:v>
      </x:c>
      <x:c r="C5" s="156" t="str">
        <x:v>Dodatkowe MAX HP / 3 tury</x:v>
      </x:c>
      <x:c r="D5" s="156" t="str">
        <x:v>Interpretacja</x:v>
      </x:c>
    </x:row>
    <x:row r="6" ht="36" customHeight="1">
      <x:c r="A6" s="91" t="str">
        <x:v>Szybki atak</x:v>
      </x:c>
      <x:c r="B6" s="157" t="n">
        <x:v>2</x:v>
      </x:c>
      <x:c r="C6" s="157" t="n">
        <x:v>1</x:v>
      </x:c>
      <x:c r="D6" s="91" t="str">
        <x:v>Zachowuje możliwość ataku od razu. Bez dodatkowych ataków.</x:v>
      </x:c>
    </x:row>
    <x:row r="7" ht="36" customHeight="1">
      <x:c r="A7" s="91" t="str">
        <x:v>Podwójny atak</x:v>
      </x:c>
      <x:c r="B7" s="157" t="n">
        <x:v>2</x:v>
      </x:c>
      <x:c r="C7" s="157" t="n">
        <x:v>0</x:v>
      </x:c>
      <x:c r="D7" s="91" t="str">
        <x:v>Pozostają dwa ataki w turze; zwiększa się ATK jednostki.</x:v>
      </x:c>
    </x:row>
    <x:row r="8" ht="36" customHeight="1">
      <x:c r="A8" s="91" t="str">
        <x:v>Tarcza</x:v>
      </x:c>
      <x:c r="B8" s="157" t="n">
        <x:v>0</x:v>
      </x:c>
      <x:c r="C8" s="157" t="n">
        <x:v>3</x:v>
      </x:c>
      <x:c r="D8" s="91" t="str">
        <x:v>Nadal najwyżej jedna tarcza; zwiększa się MAX HP i aktualne HP.</x:v>
      </x:c>
    </x:row>
    <x:row r="9" ht="36" customHeight="1">
      <x:c r="A9" s="91" t="str">
        <x:v>Prowokacja</x:v>
      </x:c>
      <x:c r="B9" s="157" t="n">
        <x:v>0</x:v>
      </x:c>
      <x:c r="C9" s="157" t="n">
        <x:v>3</x:v>
      </x:c>
      <x:c r="D9" s="91" t="str">
        <x:v>Efekt prowokacji nie rozszerza liczby celów; zwiększa się HP.</x:v>
      </x:c>
    </x:row>
    <x:row r="11">
      <x:c r="A11" t="str">
        <x:v>ATK bazowe</x:v>
      </x:c>
      <x:c r="B11" s="158" t="n">
        <x:v>3</x:v>
      </x:c>
      <x:c r="C11" s="158" t="str">
        <x:v>MAX HP bazowe</x:v>
      </x:c>
      <x:c r="D11" s="158" t="n">
        <x:v>5</x:v>
      </x:c>
      <x:c r="E11" s="158" t="str">
        <x:v>ATK / turę</x:v>
      </x:c>
      <x:c r="F11" s="158" t="n">
        <x:v>1</x:v>
      </x:c>
      <x:c r="G11" s="158" t="str">
        <x:v>HP / turę</x:v>
      </x:c>
      <x:c r="H11" s="158" t="n">
        <x:v>1</x:v>
      </x:c>
    </x:row>
    <x:row r="12">
      <x:c r="A12" t="str">
        <x:v>Przykład: karta z bazą 3 ATK / 5 HP i zwykłym profilem zrównoważonym (+1/+1 na turę).</x:v>
      </x:c>
    </x:row>
    <x:row r="14" ht="27" customHeight="1">
      <x:c r="A14" s="156" t="str">
        <x:v>Cecha</x:v>
      </x:c>
      <x:c r="B14" s="156" t="str">
        <x:v>ATK T0</x:v>
      </x:c>
      <x:c r="C14" s="156" t="str">
        <x:v>HP T0</x:v>
      </x:c>
      <x:c r="D14" s="156" t="str">
        <x:v>ATK T3</x:v>
      </x:c>
      <x:c r="E14" s="156" t="str">
        <x:v>HP T3</x:v>
      </x:c>
      <x:c r="F14" s="156" t="str">
        <x:v>ATK T6</x:v>
      </x:c>
      <x:c r="G14" s="156" t="str">
        <x:v>HP T6</x:v>
      </x:c>
      <x:c r="H14" s="156" t="str">
        <x:v>ATK T9</x:v>
      </x:c>
      <x:c r="I14" s="156" t="str">
        <x:v>HP T9</x:v>
      </x:c>
    </x:row>
    <x:row r="15" ht="26" customHeight="1">
      <x:c r="A15" t="str">
        <x:v>Szybki atak</x:v>
      </x:c>
      <x:c r="B15" t="n">
        <x:f>$B$11</x:f>
        <x:v>3</x:v>
      </x:c>
      <x:c r="C15" t="n">
        <x:f>$D$11</x:f>
        <x:v>5</x:v>
      </x:c>
      <x:c r="D15" t="n">
        <x:f>$B$11+3*$F$11+$B$6</x:f>
        <x:v>8</x:v>
      </x:c>
      <x:c r="E15" t="n">
        <x:f>$D$11+3*$H$11+$C$6</x:f>
        <x:v>9</x:v>
      </x:c>
      <x:c r="F15" t="n">
        <x:f>$B$11+6*$F$11+2*$B$6</x:f>
        <x:v>13</x:v>
      </x:c>
      <x:c r="G15" t="n">
        <x:f>$D$11+6*$H$11+2*$C$6</x:f>
        <x:v>13</x:v>
      </x:c>
      <x:c r="H15" t="n">
        <x:f>$B$11+9*$F$11+3*$B$6</x:f>
        <x:v>18</x:v>
      </x:c>
      <x:c r="I15" t="n">
        <x:f>$D$11+9*$H$11+3*$C$6</x:f>
        <x:v>17</x:v>
      </x:c>
    </x:row>
    <x:row r="16" ht="26" customHeight="1">
      <x:c r="A16" t="str">
        <x:v>Podwójny atak</x:v>
      </x:c>
      <x:c r="B16" t="n">
        <x:f>$B$11</x:f>
        <x:v>3</x:v>
      </x:c>
      <x:c r="C16" t="n">
        <x:f>$D$11</x:f>
        <x:v>5</x:v>
      </x:c>
      <x:c r="D16" t="n">
        <x:f>$B$11+3*$F$11+$B$7</x:f>
        <x:v>8</x:v>
      </x:c>
      <x:c r="E16" t="n">
        <x:f>$D$11+3*$H$11+$C$7</x:f>
        <x:v>8</x:v>
      </x:c>
      <x:c r="F16" t="n">
        <x:f>$B$11+6*$F$11+2*$B$7</x:f>
        <x:v>13</x:v>
      </x:c>
      <x:c r="G16" t="n">
        <x:f>$D$11+6*$H$11+2*$C$7</x:f>
        <x:v>11</x:v>
      </x:c>
      <x:c r="H16" t="n">
        <x:f>$B$11+9*$F$11+3*$B$7</x:f>
        <x:v>18</x:v>
      </x:c>
      <x:c r="I16" t="n">
        <x:f>$D$11+9*$H$11+3*$C$7</x:f>
        <x:v>14</x:v>
      </x:c>
    </x:row>
    <x:row r="17" ht="26" customHeight="1">
      <x:c r="A17" t="str">
        <x:v>Tarcza</x:v>
      </x:c>
      <x:c r="B17" t="n">
        <x:f>$B$11</x:f>
        <x:v>3</x:v>
      </x:c>
      <x:c r="C17" t="n">
        <x:f>$D$11</x:f>
        <x:v>5</x:v>
      </x:c>
      <x:c r="D17" t="n">
        <x:f>$B$11+3*$F$11+$B$8</x:f>
        <x:v>6</x:v>
      </x:c>
      <x:c r="E17" t="n">
        <x:f>$D$11+3*$H$11+$C$8</x:f>
        <x:v>11</x:v>
      </x:c>
      <x:c r="F17" t="n">
        <x:f>$B$11+6*$F$11+2*$B$8</x:f>
        <x:v>9</x:v>
      </x:c>
      <x:c r="G17" t="n">
        <x:f>$D$11+6*$H$11+2*$C$8</x:f>
        <x:v>17</x:v>
      </x:c>
      <x:c r="H17" t="n">
        <x:f>$B$11+9*$F$11+3*$B$8</x:f>
        <x:v>12</x:v>
      </x:c>
      <x:c r="I17" t="n">
        <x:f>$D$11+9*$H$11+3*$C$8</x:f>
        <x:v>23</x:v>
      </x:c>
    </x:row>
    <x:row r="18" ht="26" customHeight="1">
      <x:c r="A18" t="str">
        <x:v>Prowokacja</x:v>
      </x:c>
      <x:c r="B18" t="n">
        <x:f>$B$11</x:f>
        <x:v>3</x:v>
      </x:c>
      <x:c r="C18" t="n">
        <x:f>$D$11</x:f>
        <x:v>5</x:v>
      </x:c>
      <x:c r="D18" t="n">
        <x:f>$B$11+3*$F$11+$B$9</x:f>
        <x:v>6</x:v>
      </x:c>
      <x:c r="E18" t="n">
        <x:f>$D$11+3*$H$11+$C$9</x:f>
        <x:v>11</x:v>
      </x:c>
      <x:c r="F18" t="n">
        <x:f>$B$11+6*$F$11+2*$B$9</x:f>
        <x:v>9</x:v>
      </x:c>
      <x:c r="G18" t="n">
        <x:f>$D$11+6*$H$11+2*$C$9</x:f>
        <x:v>17</x:v>
      </x:c>
      <x:c r="H18" t="n">
        <x:f>$B$11+9*$F$11+3*$B$9</x:f>
        <x:v>12</x:v>
      </x:c>
      <x:c r="I18" t="n">
        <x:f>$D$11+9*$H$11+3*$C$9</x:f>
        <x:v>23</x:v>
      </x:c>
    </x:row>
    <x:row r="21">
      <x:c r="A21" t="str">
        <x:v>Wartości w kolumnach B:C są zatwierdzonymi przyrostami zdolności co 3 tury, a dane w wierszu 11 pokazują przykładowy profil statystyk.</x:v>
      </x:c>
    </x:row>
  </x:sheetData>
  <x:mergeCells>
    <x:mergeCell ref="A1:H2"/>
    <x:mergeCell ref="A21:I2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21" topLeftCell="A22" activePane="bottomLeft" state="frozen"/>
    </x:sheetView>
  </x:sheetViews>
  <x:sheetFormatPr defaultRowHeight="15"/>
  <x:cols>
    <x:col min="1" max="1" width="9" hidden="0" customWidth="1"/>
    <x:col min="2" max="2" width="17" hidden="0" customWidth="1"/>
    <x:col min="3" max="3" width="33" hidden="0" customWidth="1"/>
    <x:col min="7" max="7" width="10" hidden="0" customWidth="1"/>
    <x:col min="8" max="8" width="10" hidden="0" customWidth="1"/>
    <x:col min="10" max="10" width="14" hidden="0" customWidth="1"/>
    <x:col min="11" max="11" width="14" hidden="0" customWidth="1"/>
    <x:col min="4" max="4" width="22" hidden="0" customWidth="1"/>
    <x:col min="5" max="5" width="21" hidden="0" customWidth="1"/>
    <x:col min="6" max="6" width="10" hidden="0" customWidth="1"/>
    <x:col min="9" max="9" width="10" hidden="0" customWidth="1"/>
    <x:col min="12" max="12" width="14" hidden="0" customWidth="1"/>
    <x:col min="13" max="13" width="14" hidden="0" customWidth="1"/>
    <x:col min="14" max="14" width="13" hidden="0" customWidth="1"/>
    <x:col min="15" max="15" width="13" hidden="0" customWidth="1"/>
    <x:col min="16" max="16" width="16" hidden="0" customWidth="1"/>
    <x:col min="17" max="17" width="16" hidden="0" customWidth="1"/>
    <x:col min="18" max="18" width="14" hidden="0" customWidth="1"/>
    <x:col min="19" max="19" width="21" hidden="0" customWidth="1"/>
    <x:col min="20" max="20" width="36" hidden="0" customWidth="1"/>
  </x:cols>
  <x:sheetData>
    <x:row r="1" ht="34" customHeight="1">
      <x:c r="A1" s="162" t="str">
        <x:v>MODEL VALUE PROPOSITION • CZY WYSTAWIĆ CZY PRZETRZYMAĆ 3 TURY?</x:v>
      </x:c>
      <x:c r="B1" s="162"/>
      <x:c r="C1" s="162"/>
      <x:c r="D1" s="162"/>
      <x:c r="E1" s="162"/>
      <x:c r="F1" s="162"/>
      <x:c r="G1" s="162"/>
      <x:c r="H1" s="162"/>
      <x:c r="I1" s="162"/>
      <x:c r="J1" s="162"/>
      <x:c r="K1" s="162"/>
      <x:c r="L1" s="162"/>
      <x:c r="M1" s="162"/>
      <x:c r="N1" s="162"/>
      <x:c r="O1" s="162"/>
      <x:c r="P1" s="162"/>
      <x:c r="Q1" s="162"/>
      <x:c r="R1" s="162"/>
      <x:c r="S1" s="162"/>
      <x:c r="T1" s="162"/>
    </x:row>
    <x:row r="2" ht="26" customHeight="1">
      <x:c r="A2" s="164" t="str">
        <x:v>HISTORYCZNY / POMOCNICZY ARKUSZ V12 — aktualny balans i wyniki symulacji w „Balans V13 — 70 kart”.</x:v>
      </x:c>
      <x:c r="B2" s="164"/>
      <x:c r="C2" s="164"/>
      <x:c r="D2" s="164"/>
      <x:c r="E2" s="164"/>
      <x:c r="F2" s="164"/>
      <x:c r="G2" s="164"/>
      <x:c r="H2" s="164"/>
      <x:c r="I2" s="164"/>
      <x:c r="J2" s="164"/>
      <x:c r="K2" s="164"/>
      <x:c r="L2" s="164"/>
      <x:c r="M2" s="164"/>
      <x:c r="N2" s="164"/>
      <x:c r="O2" s="164"/>
      <x:c r="P2" s="164"/>
      <x:c r="Q2" s="164"/>
      <x:c r="R2" s="164"/>
      <x:c r="S2" s="164"/>
      <x:c r="T2" s="164"/>
    </x:row>
    <x:row r="3" ht="26" customHeight="1">
      <x:c r="A3" s="166" t="str">
        <x:v>V(t) = wATK × ATK(t) + wHP × HP(t) + wEFEKT × aktywacje × wRODZINA × siła(t)      |      VP3 = V(3) / [V(0) × (1+r)^3] − 1</x:v>
      </x:c>
      <x:c r="B3" s="166"/>
      <x:c r="C3" s="166"/>
      <x:c r="D3" s="166"/>
      <x:c r="E3" s="166"/>
      <x:c r="F3" s="166"/>
      <x:c r="G3" s="166"/>
      <x:c r="H3" s="166"/>
      <x:c r="I3" s="166"/>
      <x:c r="J3" s="166"/>
      <x:c r="K3" s="166"/>
      <x:c r="L3" s="166"/>
      <x:c r="M3" s="166"/>
      <x:c r="N3" s="166"/>
      <x:c r="O3" s="166"/>
      <x:c r="P3" s="166"/>
      <x:c r="Q3" s="166"/>
      <x:c r="R3" s="166"/>
      <x:c r="S3" s="166"/>
      <x:c r="T3" s="166"/>
    </x:row>
    <x:row r="4">
      <x:c r="G4" s="173" t="str">
        <x:v>Moment zdolności</x:v>
      </x:c>
      <x:c r="H4" s="173" t="str">
        <x:v>Szac. aktywacje</x:v>
      </x:c>
      <x:c r="J4" s="173" t="str">
        <x:v>Rodzina efektu</x:v>
      </x:c>
      <x:c r="K4" s="173" t="str">
        <x:v>Waga umowna</x:v>
      </x:c>
    </x:row>
    <x:row r="5">
      <x:c r="A5" s="168" t="str">
        <x:v>Waga ATK</x:v>
      </x:c>
      <x:c r="B5" s="171" t="n">
        <x:v>1</x:v>
      </x:c>
      <x:c r="C5" t="str">
        <x:v>Umowna wartość punktu ataku</x:v>
      </x:c>
      <x:c r="G5" t="str">
        <x:v>Przy wystawieniu</x:v>
      </x:c>
      <x:c r="H5" s="169" t="n">
        <x:v>1</x:v>
      </x:c>
      <x:c r="J5" t="str">
        <x:v>Obrażenia</x:v>
      </x:c>
      <x:c r="K5" s="169" t="n">
        <x:v>1</x:v>
      </x:c>
    </x:row>
    <x:row r="6">
      <x:c r="A6" s="168" t="str">
        <x:v>Waga MAX HP</x:v>
      </x:c>
      <x:c r="B6" s="171" t="n">
        <x:v>0.45</x:v>
      </x:c>
      <x:c r="C6" t="str">
        <x:v>Umowna wartość punktu zdrowia; dostosuj do testów</x:v>
      </x:c>
      <x:c r="G6" t="str">
        <x:v>Przy ataku</x:v>
      </x:c>
      <x:c r="H6" s="169" t="n">
        <x:v>1.2</x:v>
      </x:c>
      <x:c r="J6" t="str">
        <x:v>Leczenie</x:v>
      </x:c>
      <x:c r="K6" s="169" t="n">
        <x:v>0.75</x:v>
      </x:c>
    </x:row>
    <x:row r="7">
      <x:c r="A7" s="168" t="str">
        <x:v>Waga zdolności</x:v>
      </x:c>
      <x:c r="B7" s="171" t="n">
        <x:v>1</x:v>
      </x:c>
      <x:c r="C7" t="str">
        <x:v>Skala wycen efektów z osobnej tabeli</x:v>
      </x:c>
      <x:c r="G7" t="str">
        <x:v>Przy śmierci</x:v>
      </x:c>
      <x:c r="H7" s="169" t="n">
        <x:v>0.6</x:v>
      </x:c>
      <x:c r="J7" t="str">
        <x:v>ATK ±</x:v>
      </x:c>
      <x:c r="K7" s="169" t="n">
        <x:v>0.95</x:v>
      </x:c>
    </x:row>
    <x:row r="8">
      <x:c r="A8" s="168" t="str">
        <x:v>Koszt opóźnienia / turę</x:v>
      </x:c>
      <x:c r="B8" s="171" t="n">
        <x:v>0.16</x:v>
      </x:c>
      <x:c r="C8" t="str">
        <x:v>Dyskonto wartości karty zagrywanej później</x:v>
      </x:c>
      <x:c r="G8" t="str">
        <x:v>Na koniec tury</x:v>
      </x:c>
      <x:c r="H8" s="169" t="n">
        <x:v>2.5</x:v>
      </x:c>
      <x:c r="J8" t="str">
        <x:v>MAX HP ±</x:v>
      </x:c>
      <x:c r="K8" s="169" t="n">
        <x:v>0.55</x:v>
      </x:c>
    </x:row>
    <x:row r="9">
      <x:c r="A9" s="168" t="str">
        <x:v>Próg różnicy |VP3|</x:v>
      </x:c>
      <x:c r="B9" s="171" t="n">
        <x:v>0.15</x:v>
      </x:c>
      <x:c r="C9" t="str">
        <x:v>Tolerancja wartości względnej = 15%</x:v>
      </x:c>
      <x:c r="G9" t="str">
        <x:v>Pasywna</x:v>
      </x:c>
      <x:c r="H9" s="169" t="n">
        <x:v>1.5</x:v>
      </x:c>
      <x:c r="J9" t="str">
        <x:v>Pancerz</x:v>
      </x:c>
      <x:c r="K9" s="169" t="n">
        <x:v>0.65</x:v>
      </x:c>
    </x:row>
    <x:row r="10">
      <x:c r="A10" s="168" t="str">
        <x:v>Domyślny przyrost siły / 3T</x:v>
      </x:c>
      <x:c r="B10" s="172" t="n">
        <x:v>1</x:v>
      </x:c>
      <x:c r="C10" t="str">
        <x:v>Tylko robocza wycena dla zdolności liczbowych</x:v>
      </x:c>
      <x:c r="J10" t="str">
        <x:v>Tarcza</x:v>
      </x:c>
      <x:c r="K10" s="169" t="n">
        <x:v>3</x:v>
      </x:c>
    </x:row>
    <x:row r="11">
      <x:c r="J11" t="str">
        <x:v>Trucizna</x:v>
      </x:c>
      <x:c r="K11" s="169" t="n">
        <x:v>1.5</x:v>
      </x:c>
    </x:row>
    <x:row r="12">
      <x:c r="A12" s="175" t="str">
        <x:v>INTERPRETACJA WYNIKU</x:v>
      </x:c>
      <x:c r="B12" s="175"/>
      <x:c r="C12" s="175"/>
      <x:c r="D12" s="175"/>
      <x:c r="E12" s="175"/>
      <x:c r="F12" s="175"/>
      <x:c r="G12" s="175"/>
      <x:c r="H12" s="175"/>
      <x:c r="I12" s="175"/>
      <x:c r="J12" t="str">
        <x:v>Ogłuszenie</x:v>
      </x:c>
      <x:c r="K12" s="169" t="n">
        <x:v>2.5</x:v>
      </x:c>
    </x:row>
    <x:row r="13" ht="20" customHeight="1">
      <x:c r="A13" s="176" t="str">
        <x:v>VP3 &gt; +próg → model wskazuje przetrzymanie; VP3 &lt; −próg → wcześniejsze wystawienie; w środku → zbliżona wartość.</x:v>
      </x:c>
      <x:c r="B13" s="176"/>
      <x:c r="C13" s="176"/>
      <x:c r="D13" s="176"/>
      <x:c r="E13" s="176"/>
      <x:c r="F13" s="176"/>
      <x:c r="G13" s="176"/>
      <x:c r="H13" s="176"/>
      <x:c r="I13" s="176"/>
      <x:c r="J13" t="str">
        <x:v>Regeneracja</x:v>
      </x:c>
      <x:c r="K13" s="169" t="n">
        <x:v>0.85</x:v>
      </x:c>
    </x:row>
    <x:row r="14" ht="20" customHeight="1">
      <x:c r="A14" s="176" t="str">
        <x:v>Efekty jakościowe: moc początkową modelujemy jako 1; premia statystyk /3T jest liczona osobno i nie dodajemy jej ponownie do efektu.</x:v>
      </x:c>
      <x:c r="B14" s="176"/>
      <x:c r="C14" s="176"/>
      <x:c r="D14" s="176"/>
      <x:c r="E14" s="176"/>
      <x:c r="F14" s="176"/>
      <x:c r="G14" s="176"/>
      <x:c r="H14" s="176"/>
      <x:c r="I14" s="176"/>
      <x:c r="J14" t="str">
        <x:v>Prowokacja</x:v>
      </x:c>
      <x:c r="K14" s="169" t="n">
        <x:v>2.4</x:v>
      </x:c>
    </x:row>
    <x:row r="15" ht="20" customHeight="1">
      <x:c r="A15" s="176" t="str">
        <x:v>Odporność, tarcza, prowokacja, ogłuszenie, efekty na wielu celach i synergie wymagają późniejszych symulacji — sam VP3 nie wystarcza.</x:v>
      </x:c>
      <x:c r="B15" s="176"/>
      <x:c r="C15" s="176"/>
      <x:c r="D15" s="176"/>
      <x:c r="E15" s="176"/>
      <x:c r="F15" s="176"/>
      <x:c r="G15" s="176"/>
      <x:c r="H15" s="176"/>
      <x:c r="I15" s="176"/>
      <x:c r="J15" t="str">
        <x:v>Oczyszczanie</x:v>
      </x:c>
      <x:c r="K15" s="169" t="n">
        <x:v>1.7</x:v>
      </x:c>
    </x:row>
    <x:row r="16">
      <x:c r="J16" t="str">
        <x:v>Odporność</x:v>
      </x:c>
      <x:c r="K16" s="169" t="n">
        <x:v>1.4</x:v>
      </x:c>
    </x:row>
    <x:row r="17">
      <x:c r="J17" t="str">
        <x:v>Szybki atak</x:v>
      </x:c>
      <x:c r="K17" s="169" t="n">
        <x:v>2.6</x:v>
      </x:c>
    </x:row>
    <x:row r="18">
      <x:c r="J18" t="str">
        <x:v>Podwójny atak</x:v>
      </x:c>
      <x:c r="K18" s="169" t="n">
        <x:v>3.2</x:v>
      </x:c>
    </x:row>
    <x:row r="19" ht="27" customHeight="1">
      <x:c r="A19" s="178" t="str">
        <x:v>70 PODSTAWOWYCH KART • PORÓWNANIE WARTOŚCI PRZY ZAGRANIU TERAZ I PO 3 TURACH NA RĘCE</x:v>
      </x:c>
      <x:c r="B19" s="178"/>
      <x:c r="C19" s="178"/>
      <x:c r="D19" s="178"/>
      <x:c r="E19" s="178"/>
      <x:c r="F19" s="178"/>
      <x:c r="G19" s="178"/>
      <x:c r="H19" s="178"/>
      <x:c r="I19" s="178"/>
      <x:c r="J19" s="178"/>
      <x:c r="K19" s="178"/>
      <x:c r="L19" s="178"/>
      <x:c r="M19" s="178"/>
      <x:c r="N19" s="178"/>
      <x:c r="O19" s="178"/>
      <x:c r="P19" s="178"/>
      <x:c r="Q19" s="178"/>
      <x:c r="R19" s="178"/>
      <x:c r="S19" s="178"/>
      <x:c r="T19" s="178"/>
    </x:row>
    <x:row r="21" ht="30" customHeight="1">
      <x:c r="A21" s="179" t="str">
        <x:v>ID</x:v>
      </x:c>
      <x:c r="B21" s="179" t="str">
        <x:v>Frakcja</x:v>
      </x:c>
      <x:c r="C21" s="179" t="str">
        <x:v>Archetyp</x:v>
      </x:c>
      <x:c r="D21" s="179" t="str">
        <x:v>Aktywacja</x:v>
      </x:c>
      <x:c r="E21" s="179" t="str">
        <x:v>Rodzina efektu</x:v>
      </x:c>
      <x:c r="F21" s="179" t="str">
        <x:v>ATK 0</x:v>
      </x:c>
      <x:c r="G21" s="179" t="str">
        <x:v>HP 0</x:v>
      </x:c>
      <x:c r="H21" s="179" t="str">
        <x:v>+ATK/t</x:v>
      </x:c>
      <x:c r="I21" s="179" t="str">
        <x:v>+HP/t</x:v>
      </x:c>
      <x:c r="J21" s="179" t="str">
        <x:v>Premia ATK/3</x:v>
      </x:c>
      <x:c r="K21" s="179" t="str">
        <x:v>Premia HP/3</x:v>
      </x:c>
      <x:c r="L21" s="179" t="str">
        <x:v>Moc efektu 0*</x:v>
      </x:c>
      <x:c r="M21" s="179" t="str">
        <x:v>+ mocy / 3T*</x:v>
      </x:c>
      <x:c r="N21" s="179" t="str">
        <x:v>Aktywacje*</x:v>
      </x:c>
      <x:c r="O21" s="179" t="str">
        <x:v>Waga efektu*</x:v>
      </x:c>
      <x:c r="P21" s="179" t="str">
        <x:v>Wartość V0*</x:v>
      </x:c>
      <x:c r="Q21" s="179" t="str">
        <x:v>Wartość V3*</x:v>
      </x:c>
      <x:c r="R21" s="179" t="str">
        <x:v>VP3*</x:v>
      </x:c>
      <x:c r="S21" s="179" t="str">
        <x:v>Wniosek modelu</x:v>
      </x:c>
      <x:c r="T21" s="179" t="str">
        <x:v>Uwagi</x:v>
      </x:c>
    </x:row>
    <x:row r="22" ht="21" customHeight="1">
      <x:c r="A22" t="str">
        <x:v>S01</x:v>
      </x:c>
      <x:c r="B22" t="str">
        <x:f>'Katalog kart'!M8</x:f>
        <x:v>Elfy</x:v>
      </x:c>
      <x:c r="C22" t="str">
        <x:f>'Katalog kart'!D8</x:f>
        <x:v>Mag Zorzy</x:v>
      </x:c>
      <x:c r="D22" t="str">
        <x:f>'Katalog kart'!B8</x:f>
        <x:v>Przy wystawieniu</x:v>
      </x:c>
      <x:c r="E22" t="str">
        <x:f>'Katalog kart'!C8</x:f>
        <x:v>Obrażenia</x:v>
      </x:c>
      <x:c r="F22" t="n">
        <x:f>'Katalog kart'!E8</x:f>
        <x:v>1</x:v>
      </x:c>
      <x:c r="G22" t="n">
        <x:f>'Katalog kart'!F8</x:f>
        <x:v>4</x:v>
      </x:c>
      <x:c r="H22" t="n">
        <x:f>'Balans — karty'!H6</x:f>
        <x:v>1</x:v>
      </x:c>
      <x:c r="I22" t="n">
        <x:f>'Balans — karty'!I6</x:f>
        <x:v>1</x:v>
      </x:c>
      <x:c r="J22" t="n">
        <x:f>IF(OR(E22="Szybki atak",E22="Podwójny atak"),2,0)</x:f>
        <x:v>0</x:v>
      </x:c>
      <x:c r="K22" t="n">
        <x:f>IF(E22="Szybki atak",1,IF(OR(E22="Tarcza",E22="Prowokacja"),3,0))</x:f>
        <x:v>0</x:v>
      </x:c>
      <x:c r="L22" s="169" t="n">
        <x:v>3</x:v>
      </x:c>
      <x:c r="M22" s="169" t="n">
        <x:v>1</x:v>
      </x:c>
      <x:c r="N22" t="n">
        <x:f>IFERROR(VLOOKUP(D22,$G$5:$H$9,2,FALSE),0)</x:f>
        <x:v>1</x:v>
      </x:c>
      <x:c r="O22" t="n">
        <x:f>IFERROR(VLOOKUP(E22,$J$5:$K$18,2,FALSE),0)</x:f>
        <x:v>1</x:v>
      </x:c>
      <x:c r="P22" s="180" t="n">
        <x:f>$B$5*F22+$B$6*G22+$B$7*N22*O22*L22</x:f>
        <x:v>5.8</x:v>
      </x:c>
      <x:c r="Q22" s="180" t="n">
        <x:f>$B$5*(F22+3*H22+J22)+$B$6*(G22+3*I22+K22)+$B$7*N22*O22*(L22+M22)</x:f>
        <x:v>11.15</x:v>
      </x:c>
      <x:c r="R22" s="181" t="n">
        <x:f>IFERROR(Q22/(P22*(1+$B$8)^3)-1,0)</x:f>
        <x:v>0.2316091482734588</x:v>
      </x:c>
      <x:c r="S22" t="str">
        <x:f>IF(R22&gt;$B$9,"Przetrzymaj 3T",IF(R22&lt;-$B$9,"Wystaw teraz","Zbliżona wartość"))</x:f>
        <x:v>Przetrzymaj 3T</x:v>
      </x:c>
      <x:c r="T22" t="str">
        <x:v>Ocena orientacyjna; potwierdź testami</x:v>
      </x:c>
    </x:row>
    <x:row r="23" ht="21" customHeight="1">
      <x:c r="A23" t="str">
        <x:v>S02</x:v>
      </x:c>
      <x:c r="B23" t="str">
        <x:f>'Katalog kart'!M9</x:f>
        <x:v>Elfy</x:v>
      </x:c>
      <x:c r="C23" t="str">
        <x:f>'Katalog kart'!D9</x:f>
        <x:v>Kapłanka Srebrnego Blasku</x:v>
      </x:c>
      <x:c r="D23" t="str">
        <x:f>'Katalog kart'!B9</x:f>
        <x:v>Przy wystawieniu</x:v>
      </x:c>
      <x:c r="E23" t="str">
        <x:f>'Katalog kart'!C9</x:f>
        <x:v>Leczenie</x:v>
      </x:c>
      <x:c r="F23" t="n">
        <x:f>'Katalog kart'!E9</x:f>
        <x:v>3</x:v>
      </x:c>
      <x:c r="G23" t="n">
        <x:f>'Katalog kart'!F9</x:f>
        <x:v>5</x:v>
      </x:c>
      <x:c r="H23" t="n">
        <x:f>'Balans — karty'!H7</x:f>
        <x:v>0</x:v>
      </x:c>
      <x:c r="I23" t="n">
        <x:f>'Balans — karty'!I7</x:f>
        <x:v>2</x:v>
      </x:c>
      <x:c r="J23" t="n">
        <x:f>IF(OR(E23="Szybki atak",E23="Podwójny atak"),2,0)</x:f>
        <x:v>0</x:v>
      </x:c>
      <x:c r="K23" t="n">
        <x:f>IF(E23="Szybki atak",1,IF(OR(E23="Tarcza",E23="Prowokacja"),3,0))</x:f>
        <x:v>0</x:v>
      </x:c>
      <x:c r="L23" s="169" t="n">
        <x:v>4</x:v>
      </x:c>
      <x:c r="M23" s="169" t="n">
        <x:v>1</x:v>
      </x:c>
      <x:c r="N23" t="n">
        <x:f>IFERROR(VLOOKUP(D23,$G$5:$H$9,2,FALSE),0)</x:f>
        <x:v>1</x:v>
      </x:c>
      <x:c r="O23" t="n">
        <x:f>IFERROR(VLOOKUP(E23,$J$5:$K$18,2,FALSE),0)</x:f>
        <x:v>0.75</x:v>
      </x:c>
      <x:c r="P23" s="180" t="n">
        <x:f>$B$5*F23+$B$6*G23+$B$7*N23*O23*L23</x:f>
        <x:v>8.25</x:v>
      </x:c>
      <x:c r="Q23" s="180" t="n">
        <x:f>$B$5*(F23+3*H23+J23)+$B$6*(G23+3*I23+K23)+$B$7*N23*O23*(L23+M23)</x:f>
        <x:v>11.7</x:v>
      </x:c>
      <x:c r="R23" s="181" t="n">
        <x:f>IFERROR(Q23/(P23*(1+$B$8)^3)-1,0)</x:f>
        <x:v>-0.09143093570499361</x:v>
      </x:c>
      <x:c r="S23" t="str">
        <x:f>IF(R23&gt;$B$9,"Przetrzymaj 3T",IF(R23&lt;-$B$9,"Wystaw teraz","Zbliżona wartość"))</x:f>
        <x:v>Zbliżona wartość</x:v>
      </x:c>
      <x:c r="T23" t="str">
        <x:v>Ocena orientacyjna; potwierdź testami</x:v>
      </x:c>
    </x:row>
    <x:row r="24" ht="21" customHeight="1">
      <x:c r="A24" t="str">
        <x:v>S04</x:v>
      </x:c>
      <x:c r="B24" t="str">
        <x:f>'Katalog kart'!M10</x:f>
        <x:v>Elfy</x:v>
      </x:c>
      <x:c r="C24" t="str">
        <x:f>'Katalog kart'!D10</x:f>
        <x:v>Tkacz Run</x:v>
      </x:c>
      <x:c r="D24" t="str">
        <x:f>'Katalog kart'!B10</x:f>
        <x:v>Przy wystawieniu</x:v>
      </x:c>
      <x:c r="E24" t="str">
        <x:f>'Katalog kart'!C10</x:f>
        <x:v>ATK ±</x:v>
      </x:c>
      <x:c r="F24" t="n">
        <x:f>'Katalog kart'!E10</x:f>
        <x:v>1</x:v>
      </x:c>
      <x:c r="G24" t="n">
        <x:f>'Katalog kart'!F10</x:f>
        <x:v>4</x:v>
      </x:c>
      <x:c r="H24" t="n">
        <x:f>'Balans — karty'!H8</x:f>
        <x:v>2</x:v>
      </x:c>
      <x:c r="I24" t="n">
        <x:f>'Balans — karty'!I8</x:f>
        <x:v>0</x:v>
      </x:c>
      <x:c r="J24" t="n">
        <x:f>IF(OR(E24="Szybki atak",E24="Podwójny atak"),2,0)</x:f>
        <x:v>0</x:v>
      </x:c>
      <x:c r="K24" t="n">
        <x:f>IF(E24="Szybki atak",1,IF(OR(E24="Tarcza",E24="Prowokacja"),3,0))</x:f>
        <x:v>0</x:v>
      </x:c>
      <x:c r="L24" s="169" t="n">
        <x:v>3</x:v>
      </x:c>
      <x:c r="M24" s="169" t="n">
        <x:v>1</x:v>
      </x:c>
      <x:c r="N24" t="n">
        <x:f>IFERROR(VLOOKUP(D24,$G$5:$H$9,2,FALSE),0)</x:f>
        <x:v>1</x:v>
      </x:c>
      <x:c r="O24" t="n">
        <x:f>IFERROR(VLOOKUP(E24,$J$5:$K$18,2,FALSE),0)</x:f>
        <x:v>0.95</x:v>
      </x:c>
      <x:c r="P24" s="180" t="n">
        <x:f>$B$5*F24+$B$6*G24+$B$7*N24*O24*L24</x:f>
        <x:v>5.6499999999999995</x:v>
      </x:c>
      <x:c r="Q24" s="180" t="n">
        <x:f>$B$5*(F24+3*H24+J24)+$B$6*(G24+3*I24+K24)+$B$7*N24*O24*(L24+M24)</x:f>
        <x:v>12.600000000000001</x:v>
      </x:c>
      <x:c r="R24" s="181" t="n">
        <x:f>IFERROR(Q24/(P24*(1+$B$8)^3)-1,0)</x:f>
        <x:v>0.4287233073665522</x:v>
      </x:c>
      <x:c r="S24" t="str">
        <x:f>IF(R24&gt;$B$9,"Przetrzymaj 3T",IF(R24&lt;-$B$9,"Wystaw teraz","Zbliżona wartość"))</x:f>
        <x:v>Przetrzymaj 3T</x:v>
      </x:c>
      <x:c r="T24" t="str">
        <x:v>Ocena orientacyjna; potwierdź testami</x:v>
      </x:c>
    </x:row>
    <x:row r="25" ht="21" customHeight="1">
      <x:c r="A25" t="str">
        <x:v>S08</x:v>
      </x:c>
      <x:c r="B25" t="str">
        <x:f>'Katalog kart'!M11</x:f>
        <x:v>Elfy</x:v>
      </x:c>
      <x:c r="C25" t="str">
        <x:f>'Katalog kart'!D11</x:f>
        <x:v>Mag Tkanki Życia</x:v>
      </x:c>
      <x:c r="D25" t="str">
        <x:f>'Katalog kart'!B11</x:f>
        <x:v>Przy wystawieniu</x:v>
      </x:c>
      <x:c r="E25" t="str">
        <x:f>'Katalog kart'!C11</x:f>
        <x:v>MAX HP ±</x:v>
      </x:c>
      <x:c r="F25" t="n">
        <x:f>'Katalog kart'!E11</x:f>
        <x:v>2</x:v>
      </x:c>
      <x:c r="G25" t="n">
        <x:f>'Katalog kart'!F11</x:f>
        <x:v>7</x:v>
      </x:c>
      <x:c r="H25" t="n">
        <x:f>'Balans — karty'!H9</x:f>
        <x:v>0</x:v>
      </x:c>
      <x:c r="I25" t="n">
        <x:f>'Balans — karty'!I9</x:f>
        <x:v>2</x:v>
      </x:c>
      <x:c r="J25" t="n">
        <x:f>IF(OR(E25="Szybki atak",E25="Podwójny atak"),2,0)</x:f>
        <x:v>0</x:v>
      </x:c>
      <x:c r="K25" t="n">
        <x:f>IF(E25="Szybki atak",1,IF(OR(E25="Tarcza",E25="Prowokacja"),3,0))</x:f>
        <x:v>0</x:v>
      </x:c>
      <x:c r="L25" s="169" t="n">
        <x:v>4</x:v>
      </x:c>
      <x:c r="M25" s="169" t="n">
        <x:v>1</x:v>
      </x:c>
      <x:c r="N25" t="n">
        <x:f>IFERROR(VLOOKUP(D25,$G$5:$H$9,2,FALSE),0)</x:f>
        <x:v>1</x:v>
      </x:c>
      <x:c r="O25" t="n">
        <x:f>IFERROR(VLOOKUP(E25,$J$5:$K$18,2,FALSE),0)</x:f>
        <x:v>0.55</x:v>
      </x:c>
      <x:c r="P25" s="180" t="n">
        <x:f>$B$5*F25+$B$6*G25+$B$7*N25*O25*L25</x:f>
        <x:v>7.3500000000000005</x:v>
      </x:c>
      <x:c r="Q25" s="180" t="n">
        <x:f>$B$5*(F25+3*H25+J25)+$B$6*(G25+3*I25+K25)+$B$7*N25*O25*(L25+M25)</x:f>
        <x:v>10.600000000000001</x:v>
      </x:c>
      <x:c r="R25" s="181" t="n">
        <x:f>IFERROR(Q25/(P25*(1+$B$8)^3)-1,0)</x:f>
        <x:v>-0.07605832115124933</x:v>
      </x:c>
      <x:c r="S25" t="str">
        <x:f>IF(R25&gt;$B$9,"Przetrzymaj 3T",IF(R25&lt;-$B$9,"Wystaw teraz","Zbliżona wartość"))</x:f>
        <x:v>Zbliżona wartość</x:v>
      </x:c>
      <x:c r="T25" t="str">
        <x:v>Ocena orientacyjna; potwierdź testami</x:v>
      </x:c>
    </x:row>
    <x:row r="26" ht="21" customHeight="1">
      <x:c r="A26" t="str">
        <x:v>S03</x:v>
      </x:c>
      <x:c r="B26" t="str">
        <x:f>'Katalog kart'!M12</x:f>
        <x:v>Elfy</x:v>
      </x:c>
      <x:c r="C26" t="str">
        <x:f>'Katalog kart'!D12</x:f>
        <x:v>Zaklinacz Runicznej Zbroi</x:v>
      </x:c>
      <x:c r="D26" t="str">
        <x:f>'Katalog kart'!B12</x:f>
        <x:v>Przy wystawieniu</x:v>
      </x:c>
      <x:c r="E26" t="str">
        <x:f>'Katalog kart'!C12</x:f>
        <x:v>Pancerz</x:v>
      </x:c>
      <x:c r="F26" t="n">
        <x:f>'Katalog kart'!E12</x:f>
        <x:v>2</x:v>
      </x:c>
      <x:c r="G26" t="n">
        <x:f>'Katalog kart'!F12</x:f>
        <x:v>7</x:v>
      </x:c>
      <x:c r="H26" t="n">
        <x:f>'Balans — karty'!H10</x:f>
        <x:v>0</x:v>
      </x:c>
      <x:c r="I26" t="n">
        <x:f>'Balans — karty'!I10</x:f>
        <x:v>2</x:v>
      </x:c>
      <x:c r="J26" t="n">
        <x:f>IF(OR(E26="Szybki atak",E26="Podwójny atak"),2,0)</x:f>
        <x:v>0</x:v>
      </x:c>
      <x:c r="K26" t="n">
        <x:f>IF(E26="Szybki atak",1,IF(OR(E26="Tarcza",E26="Prowokacja"),3,0))</x:f>
        <x:v>0</x:v>
      </x:c>
      <x:c r="L26" s="169" t="n">
        <x:v>4</x:v>
      </x:c>
      <x:c r="M26" s="169" t="n">
        <x:v>1</x:v>
      </x:c>
      <x:c r="N26" t="n">
        <x:f>IFERROR(VLOOKUP(D26,$G$5:$H$9,2,FALSE),0)</x:f>
        <x:v>1</x:v>
      </x:c>
      <x:c r="O26" t="n">
        <x:f>IFERROR(VLOOKUP(E26,$J$5:$K$18,2,FALSE),0)</x:f>
        <x:v>0.65</x:v>
      </x:c>
      <x:c r="P26" s="180" t="n">
        <x:f>$B$5*F26+$B$6*G26+$B$7*N26*O26*L26</x:f>
        <x:v>7.75</x:v>
      </x:c>
      <x:c r="Q26" s="180" t="n">
        <x:f>$B$5*(F26+3*H26+J26)+$B$6*(G26+3*I26+K26)+$B$7*N26*O26*(L26+M26)</x:f>
        <x:v>11.100000000000001</x:v>
      </x:c>
      <x:c r="R26" s="181" t="n">
        <x:f>IFERROR(Q26/(P26*(1+$B$8)^3)-1,0)</x:f>
        <x:v>-0.08241288047625894</x:v>
      </x:c>
      <x:c r="S26" t="str">
        <x:f>IF(R26&gt;$B$9,"Przetrzymaj 3T",IF(R26&lt;-$B$9,"Wystaw teraz","Zbliżona wartość"))</x:f>
        <x:v>Zbliżona wartość</x:v>
      </x:c>
      <x:c r="T26" t="str">
        <x:v>Ocena orientacyjna; potwierdź testami</x:v>
      </x:c>
    </x:row>
    <x:row r="27" ht="21" customHeight="1">
      <x:c r="A27" t="str">
        <x:v>S05</x:v>
      </x:c>
      <x:c r="B27" t="str">
        <x:f>'Katalog kart'!M13</x:f>
        <x:v>Elfy</x:v>
      </x:c>
      <x:c r="C27" t="str">
        <x:f>'Katalog kart'!D13</x:f>
        <x:v>Strażniczka Księżycowej Pieczęci</x:v>
      </x:c>
      <x:c r="D27" t="str">
        <x:f>'Katalog kart'!B13</x:f>
        <x:v>Przy wystawieniu</x:v>
      </x:c>
      <x:c r="E27" t="str">
        <x:f>'Katalog kart'!C13</x:f>
        <x:v>Tarcza</x:v>
      </x:c>
      <x:c r="F27" t="n">
        <x:f>'Katalog kart'!E13</x:f>
        <x:v>3</x:v>
      </x:c>
      <x:c r="G27" t="n">
        <x:f>'Katalog kart'!F13</x:f>
        <x:v>6</x:v>
      </x:c>
      <x:c r="H27" t="n">
        <x:f>'Balans — karty'!H11</x:f>
        <x:v>0</x:v>
      </x:c>
      <x:c r="I27" t="n">
        <x:f>'Balans — karty'!I11</x:f>
        <x:v>2</x:v>
      </x:c>
      <x:c r="J27" t="n">
        <x:f>IF(OR(E27="Szybki atak",E27="Podwójny atak"),2,0)</x:f>
        <x:v>0</x:v>
      </x:c>
      <x:c r="K27" t="n">
        <x:f>IF(E27="Szybki atak",1,IF(OR(E27="Tarcza",E27="Prowokacja"),3,0))</x:f>
        <x:v>3</x:v>
      </x:c>
      <x:c r="L27" s="169" t="n">
        <x:v>1</x:v>
      </x:c>
      <x:c r="M27" s="169" t="n">
        <x:v>0</x:v>
      </x:c>
      <x:c r="N27" t="n">
        <x:f>IFERROR(VLOOKUP(D27,$G$5:$H$9,2,FALSE),0)</x:f>
        <x:v>1</x:v>
      </x:c>
      <x:c r="O27" t="n">
        <x:f>IFERROR(VLOOKUP(E27,$J$5:$K$18,2,FALSE),0)</x:f>
        <x:v>3</x:v>
      </x:c>
      <x:c r="P27" s="180" t="n">
        <x:f>$B$5*F27+$B$6*G27+$B$7*N27*O27*L27</x:f>
        <x:v>8.7</x:v>
      </x:c>
      <x:c r="Q27" s="180" t="n">
        <x:f>$B$5*(F27+3*H27+J27)+$B$6*(G27+3*I27+K27)+$B$7*N27*O27*(L27+M27)</x:f>
        <x:v>12.75</x:v>
      </x:c>
      <x:c r="R27" s="181" t="n">
        <x:f>IFERROR(Q27/(P27*(1+$B$8)^3)-1,0)</x:f>
        <x:v>-0.06110513360319292</x:v>
      </x:c>
      <x:c r="S27" t="str">
        <x:f>IF(R27&gt;$B$9,"Przetrzymaj 3T",IF(R27&lt;-$B$9,"Wystaw teraz","Zbliżona wartość"))</x:f>
        <x:v>Zbliżona wartość</x:v>
      </x:c>
      <x:c r="T27" t="str">
        <x:v>Ocena orientacyjna; potwierdź testami</x:v>
      </x:c>
    </x:row>
    <x:row r="28" ht="21" customHeight="1">
      <x:c r="A28" t="str">
        <x:v>S58</x:v>
      </x:c>
      <x:c r="B28" t="str">
        <x:f>'Katalog kart'!M14</x:f>
        <x:v>Elfy</x:v>
      </x:c>
      <x:c r="C28" t="str">
        <x:f>'Katalog kart'!D14</x:f>
        <x:v>Alchemik Jadowych Korzeni</x:v>
      </x:c>
      <x:c r="D28" t="str">
        <x:f>'Katalog kart'!B14</x:f>
        <x:v>Przy wystawieniu</x:v>
      </x:c>
      <x:c r="E28" t="str">
        <x:f>'Katalog kart'!C14</x:f>
        <x:v>Trucizna</x:v>
      </x:c>
      <x:c r="F28" t="n">
        <x:f>'Katalog kart'!E14</x:f>
        <x:v>1</x:v>
      </x:c>
      <x:c r="G28" t="n">
        <x:f>'Katalog kart'!F14</x:f>
        <x:v>5</x:v>
      </x:c>
      <x:c r="H28" t="n">
        <x:f>'Balans — karty'!H12</x:f>
        <x:v>2</x:v>
      </x:c>
      <x:c r="I28" t="n">
        <x:f>'Balans — karty'!I12</x:f>
        <x:v>0</x:v>
      </x:c>
      <x:c r="J28" t="n">
        <x:f>IF(OR(E28="Szybki atak",E28="Podwójny atak"),2,0)</x:f>
        <x:v>0</x:v>
      </x:c>
      <x:c r="K28" t="n">
        <x:f>IF(E28="Szybki atak",1,IF(OR(E28="Tarcza",E28="Prowokacja"),3,0))</x:f>
        <x:v>0</x:v>
      </x:c>
      <x:c r="L28" s="169" t="n">
        <x:v>2</x:v>
      </x:c>
      <x:c r="M28" s="169" t="n">
        <x:v>1</x:v>
      </x:c>
      <x:c r="N28" t="n">
        <x:f>IFERROR(VLOOKUP(D28,$G$5:$H$9,2,FALSE),0)</x:f>
        <x:v>1</x:v>
      </x:c>
      <x:c r="O28" t="n">
        <x:f>IFERROR(VLOOKUP(E28,$J$5:$K$18,2,FALSE),0)</x:f>
        <x:v>1.5</x:v>
      </x:c>
      <x:c r="P28" s="180" t="n">
        <x:f>$B$5*F28+$B$6*G28+$B$7*N28*O28*L28</x:f>
        <x:v>6.25</x:v>
      </x:c>
      <x:c r="Q28" s="180" t="n">
        <x:f>$B$5*(F28+3*H28+J28)+$B$6*(G28+3*I28+K28)+$B$7*N28*O28*(L28+M28)</x:f>
        <x:v>13.75</x:v>
      </x:c>
      <x:c r="R28" s="181" t="n">
        <x:f>IFERROR(Q28/(P28*(1+$B$8)^3)-1,0)</x:f>
        <x:v>0.40944688179097133</x:v>
      </x:c>
      <x:c r="S28" t="str">
        <x:f>IF(R28&gt;$B$9,"Przetrzymaj 3T",IF(R28&lt;-$B$9,"Wystaw teraz","Zbliżona wartość"))</x:f>
        <x:v>Przetrzymaj 3T</x:v>
      </x:c>
      <x:c r="T28" t="str">
        <x:v>Ocena orientacyjna; potwierdź testami</x:v>
      </x:c>
    </x:row>
    <x:row r="29" ht="21" customHeight="1">
      <x:c r="A29" t="str">
        <x:v>S59</x:v>
      </x:c>
      <x:c r="B29" t="str">
        <x:f>'Katalog kart'!M15</x:f>
        <x:v>Elfy</x:v>
      </x:c>
      <x:c r="C29" t="str">
        <x:f>'Katalog kart'!D15</x:f>
        <x:v>Tkaczka Uśpienia</x:v>
      </x:c>
      <x:c r="D29" t="str">
        <x:f>'Katalog kart'!B15</x:f>
        <x:v>Przy wystawieniu</x:v>
      </x:c>
      <x:c r="E29" t="str">
        <x:f>'Katalog kart'!C15</x:f>
        <x:v>Ogłuszenie</x:v>
      </x:c>
      <x:c r="F29" t="n">
        <x:f>'Katalog kart'!E15</x:f>
        <x:v>1</x:v>
      </x:c>
      <x:c r="G29" t="n">
        <x:f>'Katalog kart'!F15</x:f>
        <x:v>6</x:v>
      </x:c>
      <x:c r="H29" t="n">
        <x:f>'Balans — karty'!H13</x:f>
        <x:v>1</x:v>
      </x:c>
      <x:c r="I29" t="n">
        <x:f>'Balans — karty'!I13</x:f>
        <x:v>1</x:v>
      </x:c>
      <x:c r="J29" t="n">
        <x:f>IF(OR(E29="Szybki atak",E29="Podwójny atak"),2,0)</x:f>
        <x:v>0</x:v>
      </x:c>
      <x:c r="K29" t="n">
        <x:f>IF(E29="Szybki atak",1,IF(OR(E29="Tarcza",E29="Prowokacja"),3,0))</x:f>
        <x:v>0</x:v>
      </x:c>
      <x:c r="L29" s="169" t="n">
        <x:v>1</x:v>
      </x:c>
      <x:c r="M29" s="169" t="n">
        <x:v>1</x:v>
      </x:c>
      <x:c r="N29" t="n">
        <x:f>IFERROR(VLOOKUP(D29,$G$5:$H$9,2,FALSE),0)</x:f>
        <x:v>1</x:v>
      </x:c>
      <x:c r="O29" t="n">
        <x:f>IFERROR(VLOOKUP(E29,$J$5:$K$18,2,FALSE),0)</x:f>
        <x:v>2.5</x:v>
      </x:c>
      <x:c r="P29" s="180" t="n">
        <x:f>$B$5*F29+$B$6*G29+$B$7*N29*O29*L29</x:f>
        <x:v>6.2</x:v>
      </x:c>
      <x:c r="Q29" s="180" t="n">
        <x:f>$B$5*(F29+3*H29+J29)+$B$6*(G29+3*I29+K29)+$B$7*N29*O29*(L29+M29)</x:f>
        <x:v>13.05</x:v>
      </x:c>
      <x:c r="R29" s="181" t="n">
        <x:f>IFERROR(Q29/(P29*(1+$B$8)^3)-1,0)</x:f>
        <x:v>0.3484810709217141</x:v>
      </x:c>
      <x:c r="S29" t="str">
        <x:f>IF(R29&gt;$B$9,"Przetrzymaj 3T",IF(R29&lt;-$B$9,"Wystaw teraz","Zbliżona wartość"))</x:f>
        <x:v>Przetrzymaj 3T</x:v>
      </x:c>
      <x:c r="T29" t="str">
        <x:v>Ocena orientacyjna; potwierdź testami</x:v>
      </x:c>
    </x:row>
    <x:row r="30" ht="21" customHeight="1">
      <x:c r="A30" t="str">
        <x:v>S60</x:v>
      </x:c>
      <x:c r="B30" t="str">
        <x:f>'Katalog kart'!M16</x:f>
        <x:v>Elfy</x:v>
      </x:c>
      <x:c r="C30" t="str">
        <x:f>'Katalog kart'!D16</x:f>
        <x:v>Druid Odnowy</x:v>
      </x:c>
      <x:c r="D30" t="str">
        <x:f>'Katalog kart'!B16</x:f>
        <x:v>Przy wystawieniu</x:v>
      </x:c>
      <x:c r="E30" t="str">
        <x:f>'Katalog kart'!C16</x:f>
        <x:v>Regeneracja</x:v>
      </x:c>
      <x:c r="F30" t="n">
        <x:f>'Katalog kart'!E16</x:f>
        <x:v>3</x:v>
      </x:c>
      <x:c r="G30" t="n">
        <x:f>'Katalog kart'!F16</x:f>
        <x:v>6</x:v>
      </x:c>
      <x:c r="H30" t="n">
        <x:f>'Balans — karty'!H14</x:f>
        <x:v>0</x:v>
      </x:c>
      <x:c r="I30" t="n">
        <x:f>'Balans — karty'!I14</x:f>
        <x:v>2</x:v>
      </x:c>
      <x:c r="J30" t="n">
        <x:f>IF(OR(E30="Szybki atak",E30="Podwójny atak"),2,0)</x:f>
        <x:v>0</x:v>
      </x:c>
      <x:c r="K30" t="n">
        <x:f>IF(E30="Szybki atak",1,IF(OR(E30="Tarcza",E30="Prowokacja"),3,0))</x:f>
        <x:v>0</x:v>
      </x:c>
      <x:c r="L30" s="169" t="n">
        <x:v>3</x:v>
      </x:c>
      <x:c r="M30" s="169" t="n">
        <x:v>1</x:v>
      </x:c>
      <x:c r="N30" t="n">
        <x:f>IFERROR(VLOOKUP(D30,$G$5:$H$9,2,FALSE),0)</x:f>
        <x:v>1</x:v>
      </x:c>
      <x:c r="O30" t="n">
        <x:f>IFERROR(VLOOKUP(E30,$J$5:$K$18,2,FALSE),0)</x:f>
        <x:v>0.85</x:v>
      </x:c>
      <x:c r="P30" s="180" t="n">
        <x:f>$B$5*F30+$B$6*G30+$B$7*N30*O30*L30</x:f>
        <x:v>8.25</x:v>
      </x:c>
      <x:c r="Q30" s="180" t="n">
        <x:f>$B$5*(F30+3*H30+J30)+$B$6*(G30+3*I30+K30)+$B$7*N30*O30*(L30+M30)</x:f>
        <x:v>11.8</x:v>
      </x:c>
      <x:c r="R30" s="181" t="n">
        <x:f>IFERROR(Q30/(P30*(1+$B$8)^3)-1,0)</x:f>
        <x:v>-0.0836653881469166</x:v>
      </x:c>
      <x:c r="S30" t="str">
        <x:f>IF(R30&gt;$B$9,"Przetrzymaj 3T",IF(R30&lt;-$B$9,"Wystaw teraz","Zbliżona wartość"))</x:f>
        <x:v>Zbliżona wartość</x:v>
      </x:c>
      <x:c r="T30" t="str">
        <x:v>Ocena orientacyjna; potwierdź testami</x:v>
      </x:c>
    </x:row>
    <x:row r="31" ht="21" customHeight="1">
      <x:c r="A31" t="str">
        <x:v>S61</x:v>
      </x:c>
      <x:c r="B31" t="str">
        <x:f>'Katalog kart'!M17</x:f>
        <x:v>Elfy</x:v>
      </x:c>
      <x:c r="C31" t="str">
        <x:f>'Katalog kart'!D17</x:f>
        <x:v>Władczyni Leśnych Więzów</x:v>
      </x:c>
      <x:c r="D31" t="str">
        <x:f>'Katalog kart'!B17</x:f>
        <x:v>Przy wystawieniu</x:v>
      </x:c>
      <x:c r="E31" t="str">
        <x:f>'Katalog kart'!C17</x:f>
        <x:v>Prowokacja</x:v>
      </x:c>
      <x:c r="F31" t="n">
        <x:f>'Katalog kart'!E17</x:f>
        <x:v>3</x:v>
      </x:c>
      <x:c r="G31" t="n">
        <x:f>'Katalog kart'!F17</x:f>
        <x:v>7</x:v>
      </x:c>
      <x:c r="H31" t="n">
        <x:f>'Balans — karty'!H15</x:f>
        <x:v>0</x:v>
      </x:c>
      <x:c r="I31" t="n">
        <x:f>'Balans — karty'!I15</x:f>
        <x:v>2</x:v>
      </x:c>
      <x:c r="J31" t="n">
        <x:f>IF(OR(E31="Szybki atak",E31="Podwójny atak"),2,0)</x:f>
        <x:v>0</x:v>
      </x:c>
      <x:c r="K31" t="n">
        <x:f>IF(E31="Szybki atak",1,IF(OR(E31="Tarcza",E31="Prowokacja"),3,0))</x:f>
        <x:v>3</x:v>
      </x:c>
      <x:c r="L31" s="169" t="n">
        <x:v>1</x:v>
      </x:c>
      <x:c r="M31" s="169" t="n">
        <x:v>0</x:v>
      </x:c>
      <x:c r="N31" t="n">
        <x:f>IFERROR(VLOOKUP(D31,$G$5:$H$9,2,FALSE),0)</x:f>
        <x:v>1</x:v>
      </x:c>
      <x:c r="O31" t="n">
        <x:f>IFERROR(VLOOKUP(E31,$J$5:$K$18,2,FALSE),0)</x:f>
        <x:v>2.4</x:v>
      </x:c>
      <x:c r="P31" s="180" t="n">
        <x:f>$B$5*F31+$B$6*G31+$B$7*N31*O31*L31</x:f>
        <x:v>8.55</x:v>
      </x:c>
      <x:c r="Q31" s="180" t="n">
        <x:f>$B$5*(F31+3*H31+J31)+$B$6*(G31+3*I31+K31)+$B$7*N31*O31*(L31+M31)</x:f>
        <x:v>12.6</x:v>
      </x:c>
      <x:c r="R31" s="181" t="n">
        <x:f>IFERROR(Q31/(P31*(1+$B$8)^3)-1,0)</x:f>
        <x:v>-0.05587290214958851</x:v>
      </x:c>
      <x:c r="S31" t="str">
        <x:f>IF(R31&gt;$B$9,"Przetrzymaj 3T",IF(R31&lt;-$B$9,"Wystaw teraz","Zbliżona wartość"))</x:f>
        <x:v>Zbliżona wartość</x:v>
      </x:c>
      <x:c r="T31" t="str">
        <x:v>Ocena orientacyjna; potwierdź testami</x:v>
      </x:c>
    </x:row>
    <x:row r="32" ht="21" customHeight="1">
      <x:c r="A32" t="str">
        <x:v>S07</x:v>
      </x:c>
      <x:c r="B32" t="str">
        <x:f>'Katalog kart'!M18</x:f>
        <x:v>Elfy</x:v>
      </x:c>
      <x:c r="C32" t="str">
        <x:f>'Katalog kart'!D18</x:f>
        <x:v>Kapłanka Oczyszczenia</x:v>
      </x:c>
      <x:c r="D32" t="str">
        <x:f>'Katalog kart'!B18</x:f>
        <x:v>Przy wystawieniu</x:v>
      </x:c>
      <x:c r="E32" t="str">
        <x:f>'Katalog kart'!C18</x:f>
        <x:v>Oczyszczanie</x:v>
      </x:c>
      <x:c r="F32" t="n">
        <x:f>'Katalog kart'!E18</x:f>
        <x:v>2</x:v>
      </x:c>
      <x:c r="G32" t="n">
        <x:f>'Katalog kart'!F18</x:f>
        <x:v>6</x:v>
      </x:c>
      <x:c r="H32" t="n">
        <x:f>'Balans — karty'!H16</x:f>
        <x:v>1</x:v>
      </x:c>
      <x:c r="I32" t="n">
        <x:f>'Balans — karty'!I16</x:f>
        <x:v>1</x:v>
      </x:c>
      <x:c r="J32" t="n">
        <x:f>IF(OR(E32="Szybki atak",E32="Podwójny atak"),2,0)</x:f>
        <x:v>0</x:v>
      </x:c>
      <x:c r="K32" t="n">
        <x:f>IF(E32="Szybki atak",1,IF(OR(E32="Tarcza",E32="Prowokacja"),3,0))</x:f>
        <x:v>0</x:v>
      </x:c>
      <x:c r="L32" s="169" t="n">
        <x:v>1</x:v>
      </x:c>
      <x:c r="M32" s="169" t="n">
        <x:v>1</x:v>
      </x:c>
      <x:c r="N32" t="n">
        <x:f>IFERROR(VLOOKUP(D32,$G$5:$H$9,2,FALSE),0)</x:f>
        <x:v>1</x:v>
      </x:c>
      <x:c r="O32" t="n">
        <x:f>IFERROR(VLOOKUP(E32,$J$5:$K$18,2,FALSE),0)</x:f>
        <x:v>1.7</x:v>
      </x:c>
      <x:c r="P32" s="180" t="n">
        <x:f>$B$5*F32+$B$6*G32+$B$7*N32*O32*L32</x:f>
        <x:v>6.4</x:v>
      </x:c>
      <x:c r="Q32" s="180" t="n">
        <x:f>$B$5*(F32+3*H32+J32)+$B$6*(G32+3*I32+K32)+$B$7*N32*O32*(L32+M32)</x:f>
        <x:v>12.450000000000001</x:v>
      </x:c>
      <x:c r="R32" s="181" t="n">
        <x:f>IFERROR(Q32/(P32*(1+$B$8)^3)-1,0)</x:f>
        <x:v>0.2462793805609087</x:v>
      </x:c>
      <x:c r="S32" t="str">
        <x:f>IF(R32&gt;$B$9,"Przetrzymaj 3T",IF(R32&lt;-$B$9,"Wystaw teraz","Zbliżona wartość"))</x:f>
        <x:v>Przetrzymaj 3T</x:v>
      </x:c>
      <x:c r="T32" t="str">
        <x:v>Ocena orientacyjna; potwierdź testami</x:v>
      </x:c>
    </x:row>
    <x:row r="33" ht="21" customHeight="1">
      <x:c r="A33" t="str">
        <x:v>S64</x:v>
      </x:c>
      <x:c r="B33" t="str">
        <x:f>'Katalog kart'!M19</x:f>
        <x:v>Elfy</x:v>
      </x:c>
      <x:c r="C33" t="str">
        <x:f>'Katalog kart'!D19</x:f>
        <x:v>Strażnik Zaklęć Ochronnych</x:v>
      </x:c>
      <x:c r="D33" t="str">
        <x:f>'Katalog kart'!B19</x:f>
        <x:v>Przy wystawieniu</x:v>
      </x:c>
      <x:c r="E33" t="str">
        <x:f>'Katalog kart'!C19</x:f>
        <x:v>Odporność</x:v>
      </x:c>
      <x:c r="F33" t="n">
        <x:f>'Katalog kart'!E19</x:f>
        <x:v>4</x:v>
      </x:c>
      <x:c r="G33" t="n">
        <x:f>'Katalog kart'!F19</x:f>
        <x:v>6</x:v>
      </x:c>
      <x:c r="H33" t="n">
        <x:f>'Balans — karty'!H17</x:f>
        <x:v>0</x:v>
      </x:c>
      <x:c r="I33" t="n">
        <x:f>'Balans — karty'!I17</x:f>
        <x:v>2</x:v>
      </x:c>
      <x:c r="J33" t="n">
        <x:f>IF(OR(E33="Szybki atak",E33="Podwójny atak"),2,0)</x:f>
        <x:v>0</x:v>
      </x:c>
      <x:c r="K33" t="n">
        <x:f>IF(E33="Szybki atak",1,IF(OR(E33="Tarcza",E33="Prowokacja"),3,0))</x:f>
        <x:v>0</x:v>
      </x:c>
      <x:c r="L33" s="169" t="n">
        <x:v>1</x:v>
      </x:c>
      <x:c r="M33" s="169" t="n">
        <x:v>1</x:v>
      </x:c>
      <x:c r="N33" t="n">
        <x:f>IFERROR(VLOOKUP(D33,$G$5:$H$9,2,FALSE),0)</x:f>
        <x:v>1</x:v>
      </x:c>
      <x:c r="O33" t="n">
        <x:f>IFERROR(VLOOKUP(E33,$J$5:$K$18,2,FALSE),0)</x:f>
        <x:v>1.4</x:v>
      </x:c>
      <x:c r="P33" s="180" t="n">
        <x:f>$B$5*F33+$B$6*G33+$B$7*N33*O33*L33</x:f>
        <x:v>8.1</x:v>
      </x:c>
      <x:c r="Q33" s="180" t="n">
        <x:f>$B$5*(F33+3*H33+J33)+$B$6*(G33+3*I33+K33)+$B$7*N33*O33*(L33+M33)</x:f>
        <x:v>12.2</x:v>
      </x:c>
      <x:c r="R33" s="181" t="n">
        <x:f>IFERROR(Q33/(P33*(1+$B$8)^3)-1,0)</x:f>
        <x:v>-0.03505881269080513</x:v>
      </x:c>
      <x:c r="S33" t="str">
        <x:f>IF(R33&gt;$B$9,"Przetrzymaj 3T",IF(R33&lt;-$B$9,"Wystaw teraz","Zbliżona wartość"))</x:f>
        <x:v>Zbliżona wartość</x:v>
      </x:c>
      <x:c r="T33" t="str">
        <x:v>Ocena orientacyjna; potwierdź testami</x:v>
      </x:c>
    </x:row>
    <x:row r="34" ht="21" customHeight="1">
      <x:c r="A34" t="str">
        <x:v>S66</x:v>
      </x:c>
      <x:c r="B34" t="str">
        <x:f>'Katalog kart'!M20</x:f>
        <x:v>Elfy</x:v>
      </x:c>
      <x:c r="C34" t="str">
        <x:f>'Katalog kart'!D20</x:f>
        <x:v>Mag Migotliwego Kroku</x:v>
      </x:c>
      <x:c r="D34" t="str">
        <x:f>'Katalog kart'!B20</x:f>
        <x:v>Przy wystawieniu</x:v>
      </x:c>
      <x:c r="E34" t="str">
        <x:f>'Katalog kart'!C20</x:f>
        <x:v>Szybki atak</x:v>
      </x:c>
      <x:c r="F34" t="n">
        <x:f>'Katalog kart'!E20</x:f>
        <x:v>2</x:v>
      </x:c>
      <x:c r="G34" t="n">
        <x:f>'Katalog kart'!F20</x:f>
        <x:v>4</x:v>
      </x:c>
      <x:c r="H34" t="n">
        <x:f>'Balans — karty'!H18</x:f>
        <x:v>2</x:v>
      </x:c>
      <x:c r="I34" t="n">
        <x:f>'Balans — karty'!I18</x:f>
        <x:v>0</x:v>
      </x:c>
      <x:c r="J34" t="n">
        <x:f>IF(OR(E34="Szybki atak",E34="Podwójny atak"),2,0)</x:f>
        <x:v>2</x:v>
      </x:c>
      <x:c r="K34" t="n">
        <x:f>IF(E34="Szybki atak",1,IF(OR(E34="Tarcza",E34="Prowokacja"),3,0))</x:f>
        <x:v>1</x:v>
      </x:c>
      <x:c r="L34" s="169" t="n">
        <x:v>1</x:v>
      </x:c>
      <x:c r="M34" s="169" t="n">
        <x:v>0</x:v>
      </x:c>
      <x:c r="N34" t="n">
        <x:f>IFERROR(VLOOKUP(D34,$G$5:$H$9,2,FALSE),0)</x:f>
        <x:v>1</x:v>
      </x:c>
      <x:c r="O34" t="n">
        <x:f>IFERROR(VLOOKUP(E34,$J$5:$K$18,2,FALSE),0)</x:f>
        <x:v>2.6</x:v>
      </x:c>
      <x:c r="P34" s="180" t="n">
        <x:f>$B$5*F34+$B$6*G34+$B$7*N34*O34*L34</x:f>
        <x:v>6.4</x:v>
      </x:c>
      <x:c r="Q34" s="180" t="n">
        <x:f>$B$5*(F34+3*H34+J34)+$B$6*(G34+3*I34+K34)+$B$7*N34*O34*(L34+M34)</x:f>
        <x:v>14.85</x:v>
      </x:c>
      <x:c r="R34" s="181" t="n">
        <x:f>IFERROR(Q34/(P34*(1+$B$8)^3)-1,0)</x:f>
        <x:v>0.4865260081389151</x:v>
      </x:c>
      <x:c r="S34" t="str">
        <x:f>IF(R34&gt;$B$9,"Przetrzymaj 3T",IF(R34&lt;-$B$9,"Wystaw teraz","Zbliżona wartość"))</x:f>
        <x:v>Przetrzymaj 3T</x:v>
      </x:c>
      <x:c r="T34" t="str">
        <x:v>Ocena orientacyjna; potwierdź testami</x:v>
      </x:c>
    </x:row>
    <x:row r="35" ht="21" customHeight="1">
      <x:c r="A35" t="str">
        <x:v>S67</x:v>
      </x:c>
      <x:c r="B35" t="str">
        <x:f>'Katalog kart'!M21</x:f>
        <x:v>Elfy</x:v>
      </x:c>
      <x:c r="C35" t="str">
        <x:f>'Katalog kart'!D21</x:f>
        <x:v>Zaklinacz Podwójnego Uderzenia</x:v>
      </x:c>
      <x:c r="D35" t="str">
        <x:f>'Katalog kart'!B21</x:f>
        <x:v>Przy wystawieniu</x:v>
      </x:c>
      <x:c r="E35" t="str">
        <x:f>'Katalog kart'!C21</x:f>
        <x:v>Podwójny atak</x:v>
      </x:c>
      <x:c r="F35" t="n">
        <x:f>'Katalog kart'!E21</x:f>
        <x:v>1</x:v>
      </x:c>
      <x:c r="G35" t="n">
        <x:f>'Katalog kart'!F21</x:f>
        <x:v>5</x:v>
      </x:c>
      <x:c r="H35" t="n">
        <x:f>'Balans — karty'!H19</x:f>
        <x:v>2</x:v>
      </x:c>
      <x:c r="I35" t="n">
        <x:f>'Balans — karty'!I19</x:f>
        <x:v>0</x:v>
      </x:c>
      <x:c r="J35" t="n">
        <x:f>IF(OR(E35="Szybki atak",E35="Podwójny atak"),2,0)</x:f>
        <x:v>2</x:v>
      </x:c>
      <x:c r="K35" t="n">
        <x:f>IF(E35="Szybki atak",1,IF(OR(E35="Tarcza",E35="Prowokacja"),3,0))</x:f>
        <x:v>0</x:v>
      </x:c>
      <x:c r="L35" s="169" t="n">
        <x:v>1</x:v>
      </x:c>
      <x:c r="M35" s="169" t="n">
        <x:v>0</x:v>
      </x:c>
      <x:c r="N35" t="n">
        <x:f>IFERROR(VLOOKUP(D35,$G$5:$H$9,2,FALSE),0)</x:f>
        <x:v>1</x:v>
      </x:c>
      <x:c r="O35" t="n">
        <x:f>IFERROR(VLOOKUP(E35,$J$5:$K$18,2,FALSE),0)</x:f>
        <x:v>3.2</x:v>
      </x:c>
      <x:c r="P35" s="180" t="n">
        <x:f>$B$5*F35+$B$6*G35+$B$7*N35*O35*L35</x:f>
        <x:v>6.45</x:v>
      </x:c>
      <x:c r="Q35" s="180" t="n">
        <x:f>$B$5*(F35+3*H35+J35)+$B$6*(G35+3*I35+K35)+$B$7*N35*O35*(L35+M35)</x:f>
        <x:v>14.45</x:v>
      </x:c>
      <x:c r="R35" s="181" t="n">
        <x:f>IFERROR(Q35/(P35*(1+$B$8)^3)-1,0)</x:f>
        <x:v>0.43527184227480875</x:v>
      </x:c>
      <x:c r="S35" t="str">
        <x:f>IF(R35&gt;$B$9,"Przetrzymaj 3T",IF(R35&lt;-$B$9,"Wystaw teraz","Zbliżona wartość"))</x:f>
        <x:v>Przetrzymaj 3T</x:v>
      </x:c>
      <x:c r="T35" t="str">
        <x:v>Ocena orientacyjna; potwierdź testami</x:v>
      </x:c>
    </x:row>
    <x:row r="36" ht="21" customHeight="1">
      <x:c r="A36" t="str">
        <x:v>S09</x:v>
      </x:c>
      <x:c r="B36" t="str">
        <x:f>'Katalog kart'!M22</x:f>
        <x:v>Dzikie bestie</x:v>
      </x:c>
      <x:c r="C36" t="str">
        <x:f>'Katalog kart'!D22</x:f>
        <x:v>Wilk Szponiasty</x:v>
      </x:c>
      <x:c r="D36" t="str">
        <x:f>'Katalog kart'!B22</x:f>
        <x:v>Przy ataku</x:v>
      </x:c>
      <x:c r="E36" t="str">
        <x:f>'Katalog kart'!C22</x:f>
        <x:v>Obrażenia</x:v>
      </x:c>
      <x:c r="F36" t="n">
        <x:f>'Katalog kart'!E22</x:f>
        <x:v>2</x:v>
      </x:c>
      <x:c r="G36" t="n">
        <x:f>'Katalog kart'!F22</x:f>
        <x:v>5</x:v>
      </x:c>
      <x:c r="H36" t="n">
        <x:f>'Balans — karty'!H20</x:f>
        <x:v>2</x:v>
      </x:c>
      <x:c r="I36" t="n">
        <x:f>'Balans — karty'!I20</x:f>
        <x:v>0</x:v>
      </x:c>
      <x:c r="J36" t="n">
        <x:f>IF(OR(E36="Szybki atak",E36="Podwójny atak"),2,0)</x:f>
        <x:v>0</x:v>
      </x:c>
      <x:c r="K36" t="n">
        <x:f>IF(E36="Szybki atak",1,IF(OR(E36="Tarcza",E36="Prowokacja"),3,0))</x:f>
        <x:v>0</x:v>
      </x:c>
      <x:c r="L36" s="169" t="n">
        <x:v>1</x:v>
      </x:c>
      <x:c r="M36" s="169" t="n">
        <x:v>1</x:v>
      </x:c>
      <x:c r="N36" t="n">
        <x:f>IFERROR(VLOOKUP(D36,$G$5:$H$9,2,FALSE),0)</x:f>
        <x:v>1.2</x:v>
      </x:c>
      <x:c r="O36" t="n">
        <x:f>IFERROR(VLOOKUP(E36,$J$5:$K$18,2,FALSE),0)</x:f>
        <x:v>1</x:v>
      </x:c>
      <x:c r="P36" s="180" t="n">
        <x:f>$B$5*F36+$B$6*G36+$B$7*N36*O36*L36</x:f>
        <x:v>5.45</x:v>
      </x:c>
      <x:c r="Q36" s="180" t="n">
        <x:f>$B$5*(F36+3*H36+J36)+$B$6*(G36+3*I36+K36)+$B$7*N36*O36*(L36+M36)</x:f>
        <x:v>12.65</x:v>
      </x:c>
      <x:c r="R36" s="181" t="n">
        <x:f>IFERROR(Q36/(P36*(1+$B$8)^3)-1,0)</x:f>
        <x:v>0.4870311138161627</x:v>
      </x:c>
      <x:c r="S36" t="str">
        <x:f>IF(R36&gt;$B$9,"Przetrzymaj 3T",IF(R36&lt;-$B$9,"Wystaw teraz","Zbliżona wartość"))</x:f>
        <x:v>Przetrzymaj 3T</x:v>
      </x:c>
      <x:c r="T36" t="str">
        <x:v>Ocena orientacyjna; potwierdź testami</x:v>
      </x:c>
    </x:row>
    <x:row r="37" ht="21" customHeight="1">
      <x:c r="A37" t="str">
        <x:v>S10</x:v>
      </x:c>
      <x:c r="B37" t="str">
        <x:f>'Katalog kart'!M23</x:f>
        <x:v>Dzikie bestie</x:v>
      </x:c>
      <x:c r="C37" t="str">
        <x:f>'Katalog kart'!D23</x:f>
        <x:v>Nietoperz Krwiożerca</x:v>
      </x:c>
      <x:c r="D37" t="str">
        <x:f>'Katalog kart'!B23</x:f>
        <x:v>Przy ataku</x:v>
      </x:c>
      <x:c r="E37" t="str">
        <x:f>'Katalog kart'!C23</x:f>
        <x:v>Leczenie</x:v>
      </x:c>
      <x:c r="F37" t="n">
        <x:f>'Katalog kart'!E23</x:f>
        <x:v>2</x:v>
      </x:c>
      <x:c r="G37" t="n">
        <x:f>'Katalog kart'!F23</x:f>
        <x:v>6</x:v>
      </x:c>
      <x:c r="H37" t="n">
        <x:f>'Balans — karty'!H21</x:f>
        <x:v>0</x:v>
      </x:c>
      <x:c r="I37" t="n">
        <x:f>'Balans — karty'!I21</x:f>
        <x:v>2</x:v>
      </x:c>
      <x:c r="J37" t="n">
        <x:f>IF(OR(E37="Szybki atak",E37="Podwójny atak"),2,0)</x:f>
        <x:v>0</x:v>
      </x:c>
      <x:c r="K37" t="n">
        <x:f>IF(E37="Szybki atak",1,IF(OR(E37="Tarcza",E37="Prowokacja"),3,0))</x:f>
        <x:v>0</x:v>
      </x:c>
      <x:c r="L37" s="169" t="n">
        <x:v>2</x:v>
      </x:c>
      <x:c r="M37" s="169" t="n">
        <x:v>1</x:v>
      </x:c>
      <x:c r="N37" t="n">
        <x:f>IFERROR(VLOOKUP(D37,$G$5:$H$9,2,FALSE),0)</x:f>
        <x:v>1.2</x:v>
      </x:c>
      <x:c r="O37" t="n">
        <x:f>IFERROR(VLOOKUP(E37,$J$5:$K$18,2,FALSE),0)</x:f>
        <x:v>0.75</x:v>
      </x:c>
      <x:c r="P37" s="180" t="n">
        <x:f>$B$5*F37+$B$6*G37+$B$7*N37*O37*L37</x:f>
        <x:v>6.5</x:v>
      </x:c>
      <x:c r="Q37" s="180" t="n">
        <x:f>$B$5*(F37+3*H37+J37)+$B$6*(G37+3*I37+K37)+$B$7*N37*O37*(L37+M37)</x:f>
        <x:v>10.1</x:v>
      </x:c>
      <x:c r="R37" s="181" t="n">
        <x:f>IFERROR(Q37/(P37*(1+$B$8)^3)-1,0)</x:f>
        <x:v>-0.004516538035747475</x:v>
      </x:c>
      <x:c r="S37" t="str">
        <x:f>IF(R37&gt;$B$9,"Przetrzymaj 3T",IF(R37&lt;-$B$9,"Wystaw teraz","Zbliżona wartość"))</x:f>
        <x:v>Zbliżona wartość</x:v>
      </x:c>
      <x:c r="T37" t="str">
        <x:v>Ocena orientacyjna; potwierdź testami</x:v>
      </x:c>
    </x:row>
    <x:row r="38" ht="21" customHeight="1">
      <x:c r="A38" t="str">
        <x:v>S68</x:v>
      </x:c>
      <x:c r="B38" t="str">
        <x:f>'Katalog kart'!M24</x:f>
        <x:v>Dzikie bestie</x:v>
      </x:c>
      <x:c r="C38" t="str">
        <x:f>'Katalog kart'!D24</x:f>
        <x:v>Dzik Bursztynowych Kłów</x:v>
      </x:c>
      <x:c r="D38" t="str">
        <x:f>'Katalog kart'!B24</x:f>
        <x:v>Przy ataku</x:v>
      </x:c>
      <x:c r="E38" t="str">
        <x:f>'Katalog kart'!C24</x:f>
        <x:v>ATK ±</x:v>
      </x:c>
      <x:c r="F38" t="n">
        <x:f>'Katalog kart'!E24</x:f>
        <x:v>1</x:v>
      </x:c>
      <x:c r="G38" t="n">
        <x:f>'Katalog kart'!F24</x:f>
        <x:v>6</x:v>
      </x:c>
      <x:c r="H38" t="n">
        <x:f>'Balans — karty'!H22</x:f>
        <x:v>2</x:v>
      </x:c>
      <x:c r="I38" t="n">
        <x:f>'Balans — karty'!I22</x:f>
        <x:v>0</x:v>
      </x:c>
      <x:c r="J38" t="n">
        <x:f>IF(OR(E38="Szybki atak",E38="Podwójny atak"),2,0)</x:f>
        <x:v>0</x:v>
      </x:c>
      <x:c r="K38" t="n">
        <x:f>IF(E38="Szybki atak",1,IF(OR(E38="Tarcza",E38="Prowokacja"),3,0))</x:f>
        <x:v>0</x:v>
      </x:c>
      <x:c r="L38" s="169" t="n">
        <x:v>1</x:v>
      </x:c>
      <x:c r="M38" s="169" t="n">
        <x:v>1</x:v>
      </x:c>
      <x:c r="N38" t="n">
        <x:f>IFERROR(VLOOKUP(D38,$G$5:$H$9,2,FALSE),0)</x:f>
        <x:v>1.2</x:v>
      </x:c>
      <x:c r="O38" t="n">
        <x:f>IFERROR(VLOOKUP(E38,$J$5:$K$18,2,FALSE),0)</x:f>
        <x:v>0.95</x:v>
      </x:c>
      <x:c r="P38" s="180" t="n">
        <x:f>$B$5*F38+$B$6*G38+$B$7*N38*O38*L38</x:f>
        <x:v>4.84</x:v>
      </x:c>
      <x:c r="Q38" s="180" t="n">
        <x:f>$B$5*(F38+3*H38+J38)+$B$6*(G38+3*I38+K38)+$B$7*N38*O38*(L38+M38)</x:f>
        <x:v>11.979999999999999</x:v>
      </x:c>
      <x:c r="R38" s="181" t="n">
        <x:f>IFERROR(Q38/(P38*(1+$B$8)^3)-1,0)</x:f>
        <x:v>0.5857601093027647</x:v>
      </x:c>
      <x:c r="S38" t="str">
        <x:f>IF(R38&gt;$B$9,"Przetrzymaj 3T",IF(R38&lt;-$B$9,"Wystaw teraz","Zbliżona wartość"))</x:f>
        <x:v>Przetrzymaj 3T</x:v>
      </x:c>
      <x:c r="T38" t="str">
        <x:v>Ocena orientacyjna; potwierdź testami</x:v>
      </x:c>
    </x:row>
    <x:row r="39" ht="21" customHeight="1">
      <x:c r="A39" t="str">
        <x:v>S69</x:v>
      </x:c>
      <x:c r="B39" t="str">
        <x:f>'Katalog kart'!M25</x:f>
        <x:v>Dzikie bestie</x:v>
      </x:c>
      <x:c r="C39" t="str">
        <x:f>'Katalog kart'!D25</x:f>
        <x:v>Nosorożec Żelaznoskóry</x:v>
      </x:c>
      <x:c r="D39" t="str">
        <x:f>'Katalog kart'!B25</x:f>
        <x:v>Przy ataku</x:v>
      </x:c>
      <x:c r="E39" t="str">
        <x:f>'Katalog kart'!C25</x:f>
        <x:v>MAX HP ±</x:v>
      </x:c>
      <x:c r="F39" t="n">
        <x:f>'Katalog kart'!E25</x:f>
        <x:v>3</x:v>
      </x:c>
      <x:c r="G39" t="n">
        <x:f>'Katalog kart'!F25</x:f>
        <x:v>7</x:v>
      </x:c>
      <x:c r="H39" t="n">
        <x:f>'Balans — karty'!H23</x:f>
        <x:v>0</x:v>
      </x:c>
      <x:c r="I39" t="n">
        <x:f>'Balans — karty'!I23</x:f>
        <x:v>2</x:v>
      </x:c>
      <x:c r="J39" t="n">
        <x:f>IF(OR(E39="Szybki atak",E39="Podwójny atak"),2,0)</x:f>
        <x:v>0</x:v>
      </x:c>
      <x:c r="K39" t="n">
        <x:f>IF(E39="Szybki atak",1,IF(OR(E39="Tarcza",E39="Prowokacja"),3,0))</x:f>
        <x:v>0</x:v>
      </x:c>
      <x:c r="L39" s="169" t="n">
        <x:v>1</x:v>
      </x:c>
      <x:c r="M39" s="169" t="n">
        <x:v>1</x:v>
      </x:c>
      <x:c r="N39" t="n">
        <x:f>IFERROR(VLOOKUP(D39,$G$5:$H$9,2,FALSE),0)</x:f>
        <x:v>1.2</x:v>
      </x:c>
      <x:c r="O39" t="n">
        <x:f>IFERROR(VLOOKUP(E39,$J$5:$K$18,2,FALSE),0)</x:f>
        <x:v>0.55</x:v>
      </x:c>
      <x:c r="P39" s="180" t="n">
        <x:f>$B$5*F39+$B$6*G39+$B$7*N39*O39*L39</x:f>
        <x:v>6.8100000000000005</x:v>
      </x:c>
      <x:c r="Q39" s="180" t="n">
        <x:f>$B$5*(F39+3*H39+J39)+$B$6*(G39+3*I39+K39)+$B$7*N39*O39*(L39+M39)</x:f>
        <x:v>10.170000000000002</x:v>
      </x:c>
      <x:c r="R39" s="181" t="n">
        <x:f>IFERROR(Q39/(P39*(1+$B$8)^3)-1,0)</x:f>
        <x:v>-0.04324691043824713</x:v>
      </x:c>
      <x:c r="S39" t="str">
        <x:f>IF(R39&gt;$B$9,"Przetrzymaj 3T",IF(R39&lt;-$B$9,"Wystaw teraz","Zbliżona wartość"))</x:f>
        <x:v>Zbliżona wartość</x:v>
      </x:c>
      <x:c r="T39" t="str">
        <x:v>Ocena orientacyjna; potwierdź testami</x:v>
      </x:c>
    </x:row>
    <x:row r="40" ht="21" customHeight="1">
      <x:c r="A40" t="str">
        <x:v>S12</x:v>
      </x:c>
      <x:c r="B40" t="str">
        <x:f>'Katalog kart'!M26</x:f>
        <x:v>Dzikie bestie</x:v>
      </x:c>
      <x:c r="C40" t="str">
        <x:f>'Katalog kart'!D26</x:f>
        <x:v>Żarłacz Pancerzy</x:v>
      </x:c>
      <x:c r="D40" t="str">
        <x:f>'Katalog kart'!B26</x:f>
        <x:v>Przy ataku</x:v>
      </x:c>
      <x:c r="E40" t="str">
        <x:f>'Katalog kart'!C26</x:f>
        <x:v>Pancerz</x:v>
      </x:c>
      <x:c r="F40" t="n">
        <x:f>'Katalog kart'!E26</x:f>
        <x:v>4</x:v>
      </x:c>
      <x:c r="G40" t="n">
        <x:f>'Katalog kart'!F26</x:f>
        <x:v>5</x:v>
      </x:c>
      <x:c r="H40" t="n">
        <x:f>'Balans — karty'!H24</x:f>
        <x:v>0</x:v>
      </x:c>
      <x:c r="I40" t="n">
        <x:f>'Balans — karty'!I24</x:f>
        <x:v>2</x:v>
      </x:c>
      <x:c r="J40" t="n">
        <x:f>IF(OR(E40="Szybki atak",E40="Podwójny atak"),2,0)</x:f>
        <x:v>0</x:v>
      </x:c>
      <x:c r="K40" t="n">
        <x:f>IF(E40="Szybki atak",1,IF(OR(E40="Tarcza",E40="Prowokacja"),3,0))</x:f>
        <x:v>0</x:v>
      </x:c>
      <x:c r="L40" s="169" t="n">
        <x:v>2</x:v>
      </x:c>
      <x:c r="M40" s="169" t="n">
        <x:v>1</x:v>
      </x:c>
      <x:c r="N40" t="n">
        <x:f>IFERROR(VLOOKUP(D40,$G$5:$H$9,2,FALSE),0)</x:f>
        <x:v>1.2</x:v>
      </x:c>
      <x:c r="O40" t="n">
        <x:f>IFERROR(VLOOKUP(E40,$J$5:$K$18,2,FALSE),0)</x:f>
        <x:v>0.65</x:v>
      </x:c>
      <x:c r="P40" s="180" t="n">
        <x:f>$B$5*F40+$B$6*G40+$B$7*N40*O40*L40</x:f>
        <x:v>7.8100000000000005</x:v>
      </x:c>
      <x:c r="Q40" s="180" t="n">
        <x:f>$B$5*(F40+3*H40+J40)+$B$6*(G40+3*I40+K40)+$B$7*N40*O40*(L40+M40)</x:f>
        <x:v>11.29</x:v>
      </x:c>
      <x:c r="R40" s="181" t="n">
        <x:f>IFERROR(Q40/(P40*(1+$B$8)^3)-1,0)</x:f>
        <x:v>-0.07387642326736898</x:v>
      </x:c>
      <x:c r="S40" t="str">
        <x:f>IF(R40&gt;$B$9,"Przetrzymaj 3T",IF(R40&lt;-$B$9,"Wystaw teraz","Zbliżona wartość"))</x:f>
        <x:v>Zbliżona wartość</x:v>
      </x:c>
      <x:c r="T40" t="str">
        <x:v>Ocena orientacyjna; potwierdź testami</x:v>
      </x:c>
    </x:row>
    <x:row r="41" ht="21" customHeight="1">
      <x:c r="A41" t="str">
        <x:v>S70</x:v>
      </x:c>
      <x:c r="B41" t="str">
        <x:f>'Katalog kart'!M27</x:f>
        <x:v>Dzikie bestie</x:v>
      </x:c>
      <x:c r="C41" t="str">
        <x:f>'Katalog kart'!D27</x:f>
        <x:v>Żółw Rogaty</x:v>
      </x:c>
      <x:c r="D41" t="str">
        <x:f>'Katalog kart'!B27</x:f>
        <x:v>Przy ataku</x:v>
      </x:c>
      <x:c r="E41" t="str">
        <x:f>'Katalog kart'!C27</x:f>
        <x:v>Tarcza</x:v>
      </x:c>
      <x:c r="F41" t="n">
        <x:f>'Katalog kart'!E27</x:f>
        <x:v>3</x:v>
      </x:c>
      <x:c r="G41" t="n">
        <x:f>'Katalog kart'!F27</x:f>
        <x:v>6</x:v>
      </x:c>
      <x:c r="H41" t="n">
        <x:f>'Balans — karty'!H25</x:f>
        <x:v>0</x:v>
      </x:c>
      <x:c r="I41" t="n">
        <x:f>'Balans — karty'!I25</x:f>
        <x:v>2</x:v>
      </x:c>
      <x:c r="J41" t="n">
        <x:f>IF(OR(E41="Szybki atak",E41="Podwójny atak"),2,0)</x:f>
        <x:v>0</x:v>
      </x:c>
      <x:c r="K41" t="n">
        <x:f>IF(E41="Szybki atak",1,IF(OR(E41="Tarcza",E41="Prowokacja"),3,0))</x:f>
        <x:v>3</x:v>
      </x:c>
      <x:c r="L41" s="169" t="n">
        <x:v>1</x:v>
      </x:c>
      <x:c r="M41" s="169" t="n">
        <x:v>0</x:v>
      </x:c>
      <x:c r="N41" t="n">
        <x:f>IFERROR(VLOOKUP(D41,$G$5:$H$9,2,FALSE),0)</x:f>
        <x:v>1.2</x:v>
      </x:c>
      <x:c r="O41" t="n">
        <x:f>IFERROR(VLOOKUP(E41,$J$5:$K$18,2,FALSE),0)</x:f>
        <x:v>3</x:v>
      </x:c>
      <x:c r="P41" s="180" t="n">
        <x:f>$B$5*F41+$B$6*G41+$B$7*N41*O41*L41</x:f>
        <x:v>9.3</x:v>
      </x:c>
      <x:c r="Q41" s="180" t="n">
        <x:f>$B$5*(F41+3*H41+J41)+$B$6*(G41+3*I41+K41)+$B$7*N41*O41*(L41+M41)</x:f>
        <x:v>13.35</x:v>
      </x:c>
      <x:c r="R41" s="181" t="n">
        <x:f>IFERROR(Q41/(P41*(1+$B$8)^3)-1,0)</x:f>
        <x:v>-0.08034624281967406</x:v>
      </x:c>
      <x:c r="S41" t="str">
        <x:f>IF(R41&gt;$B$9,"Przetrzymaj 3T",IF(R41&lt;-$B$9,"Wystaw teraz","Zbliżona wartość"))</x:f>
        <x:v>Zbliżona wartość</x:v>
      </x:c>
      <x:c r="T41" t="str">
        <x:v>Ocena orientacyjna; potwierdź testami</x:v>
      </x:c>
    </x:row>
    <x:row r="42" ht="21" customHeight="1">
      <x:c r="A42" t="str">
        <x:v>S11</x:v>
      </x:c>
      <x:c r="B42" t="str">
        <x:f>'Katalog kart'!M28</x:f>
        <x:v>Dzikie bestie</x:v>
      </x:c>
      <x:c r="C42" t="str">
        <x:f>'Katalog kart'!D28</x:f>
        <x:v>Jadowita Żmija</x:v>
      </x:c>
      <x:c r="D42" t="str">
        <x:f>'Katalog kart'!B28</x:f>
        <x:v>Przy ataku</x:v>
      </x:c>
      <x:c r="E42" t="str">
        <x:f>'Katalog kart'!C28</x:f>
        <x:v>Trucizna</x:v>
      </x:c>
      <x:c r="F42" t="n">
        <x:f>'Katalog kart'!E28</x:f>
        <x:v>1</x:v>
      </x:c>
      <x:c r="G42" t="n">
        <x:f>'Katalog kart'!F28</x:f>
        <x:v>5</x:v>
      </x:c>
      <x:c r="H42" t="n">
        <x:f>'Balans — karty'!H26</x:f>
        <x:v>2</x:v>
      </x:c>
      <x:c r="I42" t="n">
        <x:f>'Balans — karty'!I26</x:f>
        <x:v>0</x:v>
      </x:c>
      <x:c r="J42" t="n">
        <x:f>IF(OR(E42="Szybki atak",E42="Podwójny atak"),2,0)</x:f>
        <x:v>0</x:v>
      </x:c>
      <x:c r="K42" t="n">
        <x:f>IF(E42="Szybki atak",1,IF(OR(E42="Tarcza",E42="Prowokacja"),3,0))</x:f>
        <x:v>0</x:v>
      </x:c>
      <x:c r="L42" s="169" t="n">
        <x:v>1</x:v>
      </x:c>
      <x:c r="M42" s="169" t="n">
        <x:v>1</x:v>
      </x:c>
      <x:c r="N42" t="n">
        <x:f>IFERROR(VLOOKUP(D42,$G$5:$H$9,2,FALSE),0)</x:f>
        <x:v>1.2</x:v>
      </x:c>
      <x:c r="O42" t="n">
        <x:f>IFERROR(VLOOKUP(E42,$J$5:$K$18,2,FALSE),0)</x:f>
        <x:v>1.5</x:v>
      </x:c>
      <x:c r="P42" s="180" t="n">
        <x:f>$B$5*F42+$B$6*G42+$B$7*N42*O42*L42</x:f>
        <x:v>5.05</x:v>
      </x:c>
      <x:c r="Q42" s="180" t="n">
        <x:f>$B$5*(F42+3*H42+J42)+$B$6*(G42+3*I42+K42)+$B$7*N42*O42*(L42+M42)</x:f>
        <x:v>12.85</x:v>
      </x:c>
      <x:c r="R42" s="181" t="n">
        <x:f>IFERROR(Q42/(P42*(1+$B$8)^3)-1,0)</x:f>
        <x:v>0.630188337625021</x:v>
      </x:c>
      <x:c r="S42" t="str">
        <x:f>IF(R42&gt;$B$9,"Przetrzymaj 3T",IF(R42&lt;-$B$9,"Wystaw teraz","Zbliżona wartość"))</x:f>
        <x:v>Przetrzymaj 3T</x:v>
      </x:c>
      <x:c r="T42" t="str">
        <x:v>Ocena orientacyjna; potwierdź testami</x:v>
      </x:c>
    </x:row>
    <x:row r="43" ht="21" customHeight="1">
      <x:c r="A43" t="str">
        <x:v>S15</x:v>
      </x:c>
      <x:c r="B43" t="str">
        <x:f>'Katalog kart'!M29</x:f>
        <x:v>Dzikie bestie</x:v>
      </x:c>
      <x:c r="C43" t="str">
        <x:f>'Katalog kart'!D29</x:f>
        <x:v>Niedźwiedź Grzmotu</x:v>
      </x:c>
      <x:c r="D43" t="str">
        <x:f>'Katalog kart'!B29</x:f>
        <x:v>Przy ataku</x:v>
      </x:c>
      <x:c r="E43" t="str">
        <x:f>'Katalog kart'!C29</x:f>
        <x:v>Ogłuszenie</x:v>
      </x:c>
      <x:c r="F43" t="n">
        <x:f>'Katalog kart'!E29</x:f>
        <x:v>1</x:v>
      </x:c>
      <x:c r="G43" t="n">
        <x:f>'Katalog kart'!F29</x:f>
        <x:v>6</x:v>
      </x:c>
      <x:c r="H43" t="n">
        <x:f>'Balans — karty'!H27</x:f>
        <x:v>1</x:v>
      </x:c>
      <x:c r="I43" t="n">
        <x:f>'Balans — karty'!I27</x:f>
        <x:v>1</x:v>
      </x:c>
      <x:c r="J43" t="n">
        <x:f>IF(OR(E43="Szybki atak",E43="Podwójny atak"),2,0)</x:f>
        <x:v>0</x:v>
      </x:c>
      <x:c r="K43" t="n">
        <x:f>IF(E43="Szybki atak",1,IF(OR(E43="Tarcza",E43="Prowokacja"),3,0))</x:f>
        <x:v>0</x:v>
      </x:c>
      <x:c r="L43" s="169" t="n">
        <x:v>1</x:v>
      </x:c>
      <x:c r="M43" s="169" t="n">
        <x:v>1</x:v>
      </x:c>
      <x:c r="N43" t="n">
        <x:f>IFERROR(VLOOKUP(D43,$G$5:$H$9,2,FALSE),0)</x:f>
        <x:v>1.2</x:v>
      </x:c>
      <x:c r="O43" t="n">
        <x:f>IFERROR(VLOOKUP(E43,$J$5:$K$18,2,FALSE),0)</x:f>
        <x:v>2.5</x:v>
      </x:c>
      <x:c r="P43" s="180" t="n">
        <x:f>$B$5*F43+$B$6*G43+$B$7*N43*O43*L43</x:f>
        <x:v>6.7</x:v>
      </x:c>
      <x:c r="Q43" s="180" t="n">
        <x:f>$B$5*(F43+3*H43+J43)+$B$6*(G43+3*I43+K43)+$B$7*N43*O43*(L43+M43)</x:f>
        <x:v>14.05</x:v>
      </x:c>
      <x:c r="R43" s="181" t="n">
        <x:f>IFERROR(Q43/(P43*(1+$B$8)^3)-1,0)</x:f>
        <x:v>0.3434687034710415</x:v>
      </x:c>
      <x:c r="S43" t="str">
        <x:f>IF(R43&gt;$B$9,"Przetrzymaj 3T",IF(R43&lt;-$B$9,"Wystaw teraz","Zbliżona wartość"))</x:f>
        <x:v>Przetrzymaj 3T</x:v>
      </x:c>
      <x:c r="T43" t="str">
        <x:v>Ocena orientacyjna; potwierdź testami</x:v>
      </x:c>
    </x:row>
    <x:row r="44" ht="21" customHeight="1">
      <x:c r="A44" t="str">
        <x:v>S71</x:v>
      </x:c>
      <x:c r="B44" t="str">
        <x:f>'Katalog kart'!M30</x:f>
        <x:v>Dzikie bestie</x:v>
      </x:c>
      <x:c r="C44" t="str">
        <x:f>'Katalog kart'!D30</x:f>
        <x:v>Salamandra Odnowy</x:v>
      </x:c>
      <x:c r="D44" t="str">
        <x:f>'Katalog kart'!B30</x:f>
        <x:v>Przy ataku</x:v>
      </x:c>
      <x:c r="E44" t="str">
        <x:f>'Katalog kart'!C30</x:f>
        <x:v>Regeneracja</x:v>
      </x:c>
      <x:c r="F44" t="n">
        <x:f>'Katalog kart'!E30</x:f>
        <x:v>2</x:v>
      </x:c>
      <x:c r="G44" t="n">
        <x:f>'Katalog kart'!F30</x:f>
        <x:v>6</x:v>
      </x:c>
      <x:c r="H44" t="n">
        <x:f>'Balans — karty'!H28</x:f>
        <x:v>0</x:v>
      </x:c>
      <x:c r="I44" t="n">
        <x:f>'Balans — karty'!I28</x:f>
        <x:v>2</x:v>
      </x:c>
      <x:c r="J44" t="n">
        <x:f>IF(OR(E44="Szybki atak",E44="Podwójny atak"),2,0)</x:f>
        <x:v>0</x:v>
      </x:c>
      <x:c r="K44" t="n">
        <x:f>IF(E44="Szybki atak",1,IF(OR(E44="Tarcza",E44="Prowokacja"),3,0))</x:f>
        <x:v>0</x:v>
      </x:c>
      <x:c r="L44" s="169" t="n">
        <x:v>1</x:v>
      </x:c>
      <x:c r="M44" s="169" t="n">
        <x:v>1</x:v>
      </x:c>
      <x:c r="N44" t="n">
        <x:f>IFERROR(VLOOKUP(D44,$G$5:$H$9,2,FALSE),0)</x:f>
        <x:v>1.2</x:v>
      </x:c>
      <x:c r="O44" t="n">
        <x:f>IFERROR(VLOOKUP(E44,$J$5:$K$18,2,FALSE),0)</x:f>
        <x:v>0.85</x:v>
      </x:c>
      <x:c r="P44" s="180" t="n">
        <x:f>$B$5*F44+$B$6*G44+$B$7*N44*O44*L44</x:f>
        <x:v>5.720000000000001</x:v>
      </x:c>
      <x:c r="Q44" s="180" t="n">
        <x:f>$B$5*(F44+3*H44+J44)+$B$6*(G44+3*I44+K44)+$B$7*N44*O44*(L44+M44)</x:f>
        <x:v>9.440000000000001</x:v>
      </x:c>
      <x:c r="R44" s="181" t="n">
        <x:f>IFERROR(Q44/(P44*(1+$B$8)^3)-1,0)</x:f>
        <x:v>0.057309167522788584</x:v>
      </x:c>
      <x:c r="S44" t="str">
        <x:f>IF(R44&gt;$B$9,"Przetrzymaj 3T",IF(R44&lt;-$B$9,"Wystaw teraz","Zbliżona wartość"))</x:f>
        <x:v>Zbliżona wartość</x:v>
      </x:c>
      <x:c r="T44" t="str">
        <x:v>Ocena orientacyjna; potwierdź testami</x:v>
      </x:c>
    </x:row>
    <x:row r="45" ht="21" customHeight="1">
      <x:c r="A45" t="str">
        <x:v>S72</x:v>
      </x:c>
      <x:c r="B45" t="str">
        <x:f>'Katalog kart'!M31</x:f>
        <x:v>Dzikie bestie</x:v>
      </x:c>
      <x:c r="C45" t="str">
        <x:f>'Katalog kart'!D31</x:f>
        <x:v>Bawół Strażnik</x:v>
      </x:c>
      <x:c r="D45" t="str">
        <x:f>'Katalog kart'!B31</x:f>
        <x:v>Przy ataku</x:v>
      </x:c>
      <x:c r="E45" t="str">
        <x:f>'Katalog kart'!C31</x:f>
        <x:v>Prowokacja</x:v>
      </x:c>
      <x:c r="F45" t="n">
        <x:f>'Katalog kart'!E31</x:f>
        <x:v>2</x:v>
      </x:c>
      <x:c r="G45" t="n">
        <x:f>'Katalog kart'!F31</x:f>
        <x:v>8</x:v>
      </x:c>
      <x:c r="H45" t="n">
        <x:f>'Balans — karty'!H29</x:f>
        <x:v>0</x:v>
      </x:c>
      <x:c r="I45" t="n">
        <x:f>'Balans — karty'!I29</x:f>
        <x:v>2</x:v>
      </x:c>
      <x:c r="J45" t="n">
        <x:f>IF(OR(E45="Szybki atak",E45="Podwójny atak"),2,0)</x:f>
        <x:v>0</x:v>
      </x:c>
      <x:c r="K45" t="n">
        <x:f>IF(E45="Szybki atak",1,IF(OR(E45="Tarcza",E45="Prowokacja"),3,0))</x:f>
        <x:v>3</x:v>
      </x:c>
      <x:c r="L45" s="169" t="n">
        <x:v>1</x:v>
      </x:c>
      <x:c r="M45" s="169" t="n">
        <x:v>0</x:v>
      </x:c>
      <x:c r="N45" t="n">
        <x:f>IFERROR(VLOOKUP(D45,$G$5:$H$9,2,FALSE),0)</x:f>
        <x:v>1.2</x:v>
      </x:c>
      <x:c r="O45" t="n">
        <x:f>IFERROR(VLOOKUP(E45,$J$5:$K$18,2,FALSE),0)</x:f>
        <x:v>2.4</x:v>
      </x:c>
      <x:c r="P45" s="180" t="n">
        <x:f>$B$5*F45+$B$6*G45+$B$7*N45*O45*L45</x:f>
        <x:v>8.48</x:v>
      </x:c>
      <x:c r="Q45" s="180" t="n">
        <x:f>$B$5*(F45+3*H45+J45)+$B$6*(G45+3*I45+K45)+$B$7*N45*O45*(L45+M45)</x:f>
        <x:v>12.530000000000001</x:v>
      </x:c>
      <x:c r="R45" s="181" t="n">
        <x:f>IFERROR(Q45/(P45*(1+$B$8)^3)-1,0)</x:f>
        <x:v>-0.05336784793949001</x:v>
      </x:c>
      <x:c r="S45" t="str">
        <x:f>IF(R45&gt;$B$9,"Przetrzymaj 3T",IF(R45&lt;-$B$9,"Wystaw teraz","Zbliżona wartość"))</x:f>
        <x:v>Zbliżona wartość</x:v>
      </x:c>
      <x:c r="T45" t="str">
        <x:v>Ocena orientacyjna; potwierdź testami</x:v>
      </x:c>
    </x:row>
    <x:row r="46" ht="21" customHeight="1">
      <x:c r="A46" t="str">
        <x:v>S74</x:v>
      </x:c>
      <x:c r="B46" t="str">
        <x:f>'Katalog kart'!M32</x:f>
        <x:v>Dzikie bestie</x:v>
      </x:c>
      <x:c r="C46" t="str">
        <x:f>'Katalog kart'!D32</x:f>
        <x:v>Lis Oczyszczający</x:v>
      </x:c>
      <x:c r="D46" t="str">
        <x:f>'Katalog kart'!B32</x:f>
        <x:v>Przy ataku</x:v>
      </x:c>
      <x:c r="E46" t="str">
        <x:f>'Katalog kart'!C32</x:f>
        <x:v>Oczyszczanie</x:v>
      </x:c>
      <x:c r="F46" t="n">
        <x:f>'Katalog kart'!E32</x:f>
        <x:v>1</x:v>
      </x:c>
      <x:c r="G46" t="n">
        <x:f>'Katalog kart'!F32</x:f>
        <x:v>6</x:v>
      </x:c>
      <x:c r="H46" t="n">
        <x:f>'Balans — karty'!H30</x:f>
        <x:v>1</x:v>
      </x:c>
      <x:c r="I46" t="n">
        <x:f>'Balans — karty'!I30</x:f>
        <x:v>1</x:v>
      </x:c>
      <x:c r="J46" t="n">
        <x:f>IF(OR(E46="Szybki atak",E46="Podwójny atak"),2,0)</x:f>
        <x:v>0</x:v>
      </x:c>
      <x:c r="K46" t="n">
        <x:f>IF(E46="Szybki atak",1,IF(OR(E46="Tarcza",E46="Prowokacja"),3,0))</x:f>
        <x:v>0</x:v>
      </x:c>
      <x:c r="L46" s="169" t="n">
        <x:v>1</x:v>
      </x:c>
      <x:c r="M46" s="169" t="n">
        <x:v>1</x:v>
      </x:c>
      <x:c r="N46" t="n">
        <x:f>IFERROR(VLOOKUP(D46,$G$5:$H$9,2,FALSE),0)</x:f>
        <x:v>1.2</x:v>
      </x:c>
      <x:c r="O46" t="n">
        <x:f>IFERROR(VLOOKUP(E46,$J$5:$K$18,2,FALSE),0)</x:f>
        <x:v>1.7</x:v>
      </x:c>
      <x:c r="P46" s="180" t="n">
        <x:f>$B$5*F46+$B$6*G46+$B$7*N46*O46*L46</x:f>
        <x:v>5.74</x:v>
      </x:c>
      <x:c r="Q46" s="180" t="n">
        <x:f>$B$5*(F46+3*H46+J46)+$B$6*(G46+3*I46+K46)+$B$7*N46*O46*(L46+M46)</x:f>
        <x:v>12.13</x:v>
      </x:c>
      <x:c r="R46" s="181" t="n">
        <x:f>IFERROR(Q46/(P46*(1+$B$8)^3)-1,0)</x:f>
        <x:v>0.35386368990532824</x:v>
      </x:c>
      <x:c r="S46" t="str">
        <x:f>IF(R46&gt;$B$9,"Przetrzymaj 3T",IF(R46&lt;-$B$9,"Wystaw teraz","Zbliżona wartość"))</x:f>
        <x:v>Przetrzymaj 3T</x:v>
      </x:c>
      <x:c r="T46" t="str">
        <x:v>Ocena orientacyjna; potwierdź testami</x:v>
      </x:c>
    </x:row>
    <x:row r="47" ht="21" customHeight="1">
      <x:c r="A47" t="str">
        <x:v>S76</x:v>
      </x:c>
      <x:c r="B47" t="str">
        <x:f>'Katalog kart'!M33</x:f>
        <x:v>Dzikie bestie</x:v>
      </x:c>
      <x:c r="C47" t="str">
        <x:f>'Katalog kart'!D33</x:f>
        <x:v>Miodożer Nieugięty</x:v>
      </x:c>
      <x:c r="D47" t="str">
        <x:f>'Katalog kart'!B33</x:f>
        <x:v>Przy ataku</x:v>
      </x:c>
      <x:c r="E47" t="str">
        <x:f>'Katalog kart'!C33</x:f>
        <x:v>Odporność</x:v>
      </x:c>
      <x:c r="F47" t="n">
        <x:f>'Katalog kart'!E33</x:f>
        <x:v>4</x:v>
      </x:c>
      <x:c r="G47" t="n">
        <x:f>'Katalog kart'!F33</x:f>
        <x:v>6</x:v>
      </x:c>
      <x:c r="H47" t="n">
        <x:f>'Balans — karty'!H31</x:f>
        <x:v>0</x:v>
      </x:c>
      <x:c r="I47" t="n">
        <x:f>'Balans — karty'!I31</x:f>
        <x:v>2</x:v>
      </x:c>
      <x:c r="J47" t="n">
        <x:f>IF(OR(E47="Szybki atak",E47="Podwójny atak"),2,0)</x:f>
        <x:v>0</x:v>
      </x:c>
      <x:c r="K47" t="n">
        <x:f>IF(E47="Szybki atak",1,IF(OR(E47="Tarcza",E47="Prowokacja"),3,0))</x:f>
        <x:v>0</x:v>
      </x:c>
      <x:c r="L47" s="169" t="n">
        <x:v>1</x:v>
      </x:c>
      <x:c r="M47" s="169" t="n">
        <x:v>1</x:v>
      </x:c>
      <x:c r="N47" t="n">
        <x:f>IFERROR(VLOOKUP(D47,$G$5:$H$9,2,FALSE),0)</x:f>
        <x:v>1.2</x:v>
      </x:c>
      <x:c r="O47" t="n">
        <x:f>IFERROR(VLOOKUP(E47,$J$5:$K$18,2,FALSE),0)</x:f>
        <x:v>1.4</x:v>
      </x:c>
      <x:c r="P47" s="180" t="n">
        <x:f>$B$5*F47+$B$6*G47+$B$7*N47*O47*L47</x:f>
        <x:v>8.38</x:v>
      </x:c>
      <x:c r="Q47" s="180" t="n">
        <x:f>$B$5*(F47+3*H47+J47)+$B$6*(G47+3*I47+K47)+$B$7*N47*O47*(L47+M47)</x:f>
        <x:v>12.76</x:v>
      </x:c>
      <x:c r="R47" s="181" t="n">
        <x:f>IFERROR(Q47/(P47*(1+$B$8)^3)-1,0)</x:f>
        <x:v>-0.024487838378563942</x:v>
      </x:c>
      <x:c r="S47" t="str">
        <x:f>IF(R47&gt;$B$9,"Przetrzymaj 3T",IF(R47&lt;-$B$9,"Wystaw teraz","Zbliżona wartość"))</x:f>
        <x:v>Zbliżona wartość</x:v>
      </x:c>
      <x:c r="T47" t="str">
        <x:v>Ocena orientacyjna; potwierdź testami</x:v>
      </x:c>
    </x:row>
    <x:row r="48" ht="21" customHeight="1">
      <x:c r="A48" t="str">
        <x:v>S78</x:v>
      </x:c>
      <x:c r="B48" t="str">
        <x:f>'Katalog kart'!M34</x:f>
        <x:v>Dzikie bestie</x:v>
      </x:c>
      <x:c r="C48" t="str">
        <x:f>'Katalog kart'!D34</x:f>
        <x:v>Gepard Burzowy</x:v>
      </x:c>
      <x:c r="D48" t="str">
        <x:f>'Katalog kart'!B34</x:f>
        <x:v>Przy ataku</x:v>
      </x:c>
      <x:c r="E48" t="str">
        <x:f>'Katalog kart'!C34</x:f>
        <x:v>Szybki atak</x:v>
      </x:c>
      <x:c r="F48" t="n">
        <x:f>'Katalog kart'!E34</x:f>
        <x:v>2</x:v>
      </x:c>
      <x:c r="G48" t="n">
        <x:f>'Katalog kart'!F34</x:f>
        <x:v>4</x:v>
      </x:c>
      <x:c r="H48" t="n">
        <x:f>'Balans — karty'!H32</x:f>
        <x:v>2</x:v>
      </x:c>
      <x:c r="I48" t="n">
        <x:f>'Balans — karty'!I32</x:f>
        <x:v>0</x:v>
      </x:c>
      <x:c r="J48" t="n">
        <x:f>IF(OR(E48="Szybki atak",E48="Podwójny atak"),2,0)</x:f>
        <x:v>2</x:v>
      </x:c>
      <x:c r="K48" t="n">
        <x:f>IF(E48="Szybki atak",1,IF(OR(E48="Tarcza",E48="Prowokacja"),3,0))</x:f>
        <x:v>1</x:v>
      </x:c>
      <x:c r="L48" s="169" t="n">
        <x:v>1</x:v>
      </x:c>
      <x:c r="M48" s="169" t="n">
        <x:v>0</x:v>
      </x:c>
      <x:c r="N48" t="n">
        <x:f>IFERROR(VLOOKUP(D48,$G$5:$H$9,2,FALSE),0)</x:f>
        <x:v>1.2</x:v>
      </x:c>
      <x:c r="O48" t="n">
        <x:f>IFERROR(VLOOKUP(E48,$J$5:$K$18,2,FALSE),0)</x:f>
        <x:v>2.6</x:v>
      </x:c>
      <x:c r="P48" s="180" t="n">
        <x:f>$B$5*F48+$B$6*G48+$B$7*N48*O48*L48</x:f>
        <x:v>6.92</x:v>
      </x:c>
      <x:c r="Q48" s="180" t="n">
        <x:f>$B$5*(F48+3*H48+J48)+$B$6*(G48+3*I48+K48)+$B$7*N48*O48*(L48+M48)</x:f>
        <x:v>15.370000000000001</x:v>
      </x:c>
      <x:c r="R48" s="181" t="n">
        <x:f>IFERROR(Q48/(P48*(1+$B$8)^3)-1,0)</x:f>
        <x:v>0.42296364773563</x:v>
      </x:c>
      <x:c r="S48" t="str">
        <x:f>IF(R48&gt;$B$9,"Przetrzymaj 3T",IF(R48&lt;-$B$9,"Wystaw teraz","Zbliżona wartość"))</x:f>
        <x:v>Przetrzymaj 3T</x:v>
      </x:c>
      <x:c r="T48" t="str">
        <x:v>Ocena orientacyjna; potwierdź testami</x:v>
      </x:c>
    </x:row>
    <x:row r="49" ht="21" customHeight="1">
      <x:c r="A49" t="str">
        <x:v>S79</x:v>
      </x:c>
      <x:c r="B49" t="str">
        <x:f>'Katalog kart'!M35</x:f>
        <x:v>Dzikie bestie</x:v>
      </x:c>
      <x:c r="C49" t="str">
        <x:f>'Katalog kart'!D35</x:f>
        <x:v>Dwugłowa Hiena</x:v>
      </x:c>
      <x:c r="D49" t="str">
        <x:f>'Katalog kart'!B35</x:f>
        <x:v>Przy ataku</x:v>
      </x:c>
      <x:c r="E49" t="str">
        <x:f>'Katalog kart'!C35</x:f>
        <x:v>Podwójny atak</x:v>
      </x:c>
      <x:c r="F49" t="n">
        <x:f>'Katalog kart'!E35</x:f>
        <x:v>1</x:v>
      </x:c>
      <x:c r="G49" t="n">
        <x:f>'Katalog kart'!F35</x:f>
        <x:v>5</x:v>
      </x:c>
      <x:c r="H49" t="n">
        <x:f>'Balans — karty'!H33</x:f>
        <x:v>2</x:v>
      </x:c>
      <x:c r="I49" t="n">
        <x:f>'Balans — karty'!I33</x:f>
        <x:v>0</x:v>
      </x:c>
      <x:c r="J49" t="n">
        <x:f>IF(OR(E49="Szybki atak",E49="Podwójny atak"),2,0)</x:f>
        <x:v>2</x:v>
      </x:c>
      <x:c r="K49" t="n">
        <x:f>IF(E49="Szybki atak",1,IF(OR(E49="Tarcza",E49="Prowokacja"),3,0))</x:f>
        <x:v>0</x:v>
      </x:c>
      <x:c r="L49" s="169" t="n">
        <x:v>1</x:v>
      </x:c>
      <x:c r="M49" s="169" t="n">
        <x:v>0</x:v>
      </x:c>
      <x:c r="N49" t="n">
        <x:f>IFERROR(VLOOKUP(D49,$G$5:$H$9,2,FALSE),0)</x:f>
        <x:v>1.2</x:v>
      </x:c>
      <x:c r="O49" t="n">
        <x:f>IFERROR(VLOOKUP(E49,$J$5:$K$18,2,FALSE),0)</x:f>
        <x:v>3.2</x:v>
      </x:c>
      <x:c r="P49" s="180" t="n">
        <x:f>$B$5*F49+$B$6*G49+$B$7*N49*O49*L49</x:f>
        <x:v>7.09</x:v>
      </x:c>
      <x:c r="Q49" s="180" t="n">
        <x:f>$B$5*(F49+3*H49+J49)+$B$6*(G49+3*I49+K49)+$B$7*N49*O49*(L49+M49)</x:f>
        <x:v>15.09</x:v>
      </x:c>
      <x:c r="R49" s="181" t="n">
        <x:f>IFERROR(Q49/(P49*(1+$B$8)^3)-1,0)</x:f>
        <x:v>0.363543623940618</x:v>
      </x:c>
      <x:c r="S49" t="str">
        <x:f>IF(R49&gt;$B$9,"Przetrzymaj 3T",IF(R49&lt;-$B$9,"Wystaw teraz","Zbliżona wartość"))</x:f>
        <x:v>Przetrzymaj 3T</x:v>
      </x:c>
      <x:c r="T49" t="str">
        <x:v>Ocena orientacyjna; potwierdź testami</x:v>
      </x:c>
    </x:row>
    <x:row r="50" ht="21" customHeight="1">
      <x:c r="A50" t="str">
        <x:v>S21</x:v>
      </x:c>
      <x:c r="B50" t="str">
        <x:f>'Katalog kart'!M36</x:f>
        <x:v>Potwory</x:v>
      </x:c>
      <x:c r="C50" t="str">
        <x:f>'Katalog kart'!D36</x:f>
        <x:v>Widmo Otchłani</x:v>
      </x:c>
      <x:c r="D50" t="str">
        <x:f>'Katalog kart'!B36</x:f>
        <x:v>Przy śmierci</x:v>
      </x:c>
      <x:c r="E50" t="str">
        <x:f>'Katalog kart'!C36</x:f>
        <x:v>Obrażenia</x:v>
      </x:c>
      <x:c r="F50" t="n">
        <x:f>'Katalog kart'!E36</x:f>
        <x:v>1</x:v>
      </x:c>
      <x:c r="G50" t="n">
        <x:f>'Katalog kart'!F36</x:f>
        <x:v>4</x:v>
      </x:c>
      <x:c r="H50" t="n">
        <x:f>'Balans — karty'!H34</x:f>
        <x:v>2</x:v>
      </x:c>
      <x:c r="I50" t="n">
        <x:f>'Balans — karty'!I34</x:f>
        <x:v>0</x:v>
      </x:c>
      <x:c r="J50" t="n">
        <x:f>IF(OR(E50="Szybki atak",E50="Podwójny atak"),2,0)</x:f>
        <x:v>0</x:v>
      </x:c>
      <x:c r="K50" t="n">
        <x:f>IF(E50="Szybki atak",1,IF(OR(E50="Tarcza",E50="Prowokacja"),3,0))</x:f>
        <x:v>0</x:v>
      </x:c>
      <x:c r="L50" s="169" t="n">
        <x:v>4</x:v>
      </x:c>
      <x:c r="M50" s="169" t="n">
        <x:v>1</x:v>
      </x:c>
      <x:c r="N50" t="n">
        <x:f>IFERROR(VLOOKUP(D50,$G$5:$H$9,2,FALSE),0)</x:f>
        <x:v>0.6</x:v>
      </x:c>
      <x:c r="O50" t="n">
        <x:f>IFERROR(VLOOKUP(E50,$J$5:$K$18,2,FALSE),0)</x:f>
        <x:v>1</x:v>
      </x:c>
      <x:c r="P50" s="180" t="n">
        <x:f>$B$5*F50+$B$6*G50+$B$7*N50*O50*L50</x:f>
        <x:v>5.199999999999999</x:v>
      </x:c>
      <x:c r="Q50" s="180" t="n">
        <x:f>$B$5*(F50+3*H50+J50)+$B$6*(G50+3*I50+K50)+$B$7*N50*O50*(L50+M50)</x:f>
        <x:v>11.8</x:v>
      </x:c>
      <x:c r="R50" s="181" t="n">
        <x:f>IFERROR(Q50/(P50*(1+$B$8)^3)-1,0)</x:f>
        <x:v>0.45380010534383475</x:v>
      </x:c>
      <x:c r="S50" t="str">
        <x:f>IF(R50&gt;$B$9,"Przetrzymaj 3T",IF(R50&lt;-$B$9,"Wystaw teraz","Zbliżona wartość"))</x:f>
        <x:v>Przetrzymaj 3T</x:v>
      </x:c>
      <x:c r="T50" t="str">
        <x:v>Ocena orientacyjna; potwierdź testami</x:v>
      </x:c>
    </x:row>
    <x:row r="51" ht="21" customHeight="1">
      <x:c r="A51" t="str">
        <x:v>S17</x:v>
      </x:c>
      <x:c r="B51" t="str">
        <x:f>'Katalog kart'!M37</x:f>
        <x:v>Potwory</x:v>
      </x:c>
      <x:c r="C51" t="str">
        <x:f>'Katalog kart'!D37</x:f>
        <x:v>Duch Ostatniej Łaski</x:v>
      </x:c>
      <x:c r="D51" t="str">
        <x:f>'Katalog kart'!B37</x:f>
        <x:v>Przy śmierci</x:v>
      </x:c>
      <x:c r="E51" t="str">
        <x:f>'Katalog kart'!C37</x:f>
        <x:v>Leczenie</x:v>
      </x:c>
      <x:c r="F51" t="n">
        <x:f>'Katalog kart'!E37</x:f>
        <x:v>3</x:v>
      </x:c>
      <x:c r="G51" t="n">
        <x:f>'Katalog kart'!F37</x:f>
        <x:v>8</x:v>
      </x:c>
      <x:c r="H51" t="n">
        <x:f>'Balans — karty'!H35</x:f>
        <x:v>0</x:v>
      </x:c>
      <x:c r="I51" t="n">
        <x:f>'Balans — karty'!I35</x:f>
        <x:v>2</x:v>
      </x:c>
      <x:c r="J51" t="n">
        <x:f>IF(OR(E51="Szybki atak",E51="Podwójny atak"),2,0)</x:f>
        <x:v>0</x:v>
      </x:c>
      <x:c r="K51" t="n">
        <x:f>IF(E51="Szybki atak",1,IF(OR(E51="Tarcza",E51="Prowokacja"),3,0))</x:f>
        <x:v>0</x:v>
      </x:c>
      <x:c r="L51" s="169" t="n">
        <x:v>6</x:v>
      </x:c>
      <x:c r="M51" s="169" t="n">
        <x:v>1</x:v>
      </x:c>
      <x:c r="N51" t="n">
        <x:f>IFERROR(VLOOKUP(D51,$G$5:$H$9,2,FALSE),0)</x:f>
        <x:v>0.6</x:v>
      </x:c>
      <x:c r="O51" t="n">
        <x:f>IFERROR(VLOOKUP(E51,$J$5:$K$18,2,FALSE),0)</x:f>
        <x:v>0.75</x:v>
      </x:c>
      <x:c r="P51" s="180" t="n">
        <x:f>$B$5*F51+$B$6*G51+$B$7*N51*O51*L51</x:f>
        <x:v>9.299999999999999</x:v>
      </x:c>
      <x:c r="Q51" s="180" t="n">
        <x:f>$B$5*(F51+3*H51+J51)+$B$6*(G51+3*I51+K51)+$B$7*N51*O51*(L51+M51)</x:f>
        <x:v>12.45</x:v>
      </x:c>
      <x:c r="R51" s="181" t="n">
        <x:f>IFERROR(Q51/(P51*(1+$B$8)^3)-1,0)</x:f>
        <x:v>-0.142345372517224</x:v>
      </x:c>
      <x:c r="S51" t="str">
        <x:f>IF(R51&gt;$B$9,"Przetrzymaj 3T",IF(R51&lt;-$B$9,"Wystaw teraz","Zbliżona wartość"))</x:f>
        <x:v>Zbliżona wartość</x:v>
      </x:c>
      <x:c r="T51" t="str">
        <x:v>Ocena orientacyjna; potwierdź testami</x:v>
      </x:c>
    </x:row>
    <x:row r="52" ht="21" customHeight="1">
      <x:c r="A52" t="str">
        <x:v>S23</x:v>
      </x:c>
      <x:c r="B52" t="str">
        <x:f>'Katalog kart'!M38</x:f>
        <x:v>Potwory</x:v>
      </x:c>
      <x:c r="C52" t="str">
        <x:f>'Katalog kart'!D38</x:f>
        <x:v>Klątwonosiciel</x:v>
      </x:c>
      <x:c r="D52" t="str">
        <x:f>'Katalog kart'!B38</x:f>
        <x:v>Przy śmierci</x:v>
      </x:c>
      <x:c r="E52" t="str">
        <x:f>'Katalog kart'!C38</x:f>
        <x:v>ATK ±</x:v>
      </x:c>
      <x:c r="F52" t="n">
        <x:f>'Katalog kart'!E38</x:f>
        <x:v>1</x:v>
      </x:c>
      <x:c r="G52" t="n">
        <x:f>'Katalog kart'!F38</x:f>
        <x:v>3</x:v>
      </x:c>
      <x:c r="H52" t="n">
        <x:f>'Balans — karty'!H36</x:f>
        <x:v>2</x:v>
      </x:c>
      <x:c r="I52" t="n">
        <x:f>'Balans — karty'!I36</x:f>
        <x:v>0</x:v>
      </x:c>
      <x:c r="J52" t="n">
        <x:f>IF(OR(E52="Szybki atak",E52="Podwójny atak"),2,0)</x:f>
        <x:v>0</x:v>
      </x:c>
      <x:c r="K52" t="n">
        <x:f>IF(E52="Szybki atak",1,IF(OR(E52="Tarcza",E52="Prowokacja"),3,0))</x:f>
        <x:v>0</x:v>
      </x:c>
      <x:c r="L52" s="169" t="n">
        <x:v>4</x:v>
      </x:c>
      <x:c r="M52" s="169" t="n">
        <x:v>1</x:v>
      </x:c>
      <x:c r="N52" t="n">
        <x:f>IFERROR(VLOOKUP(D52,$G$5:$H$9,2,FALSE),0)</x:f>
        <x:v>0.6</x:v>
      </x:c>
      <x:c r="O52" t="n">
        <x:f>IFERROR(VLOOKUP(E52,$J$5:$K$18,2,FALSE),0)</x:f>
        <x:v>0.95</x:v>
      </x:c>
      <x:c r="P52" s="180" t="n">
        <x:f>$B$5*F52+$B$6*G52+$B$7*N52*O52*L52</x:f>
        <x:v>4.63</x:v>
      </x:c>
      <x:c r="Q52" s="180" t="n">
        <x:f>$B$5*(F52+3*H52+J52)+$B$6*(G52+3*I52+K52)+$B$7*N52*O52*(L52+M52)</x:f>
        <x:v>11.2</x:v>
      </x:c>
      <x:c r="R52" s="181" t="n">
        <x:f>IFERROR(Q52/(P52*(1+$B$8)^3)-1,0)</x:f>
        <x:v>0.5497550634261614</x:v>
      </x:c>
      <x:c r="S52" t="str">
        <x:f>IF(R52&gt;$B$9,"Przetrzymaj 3T",IF(R52&lt;-$B$9,"Wystaw teraz","Zbliżona wartość"))</x:f>
        <x:v>Przetrzymaj 3T</x:v>
      </x:c>
      <x:c r="T52" t="str">
        <x:v>Ocena orientacyjna; potwierdź testami</x:v>
      </x:c>
    </x:row>
    <x:row r="53" ht="21" customHeight="1">
      <x:c r="A53" t="str">
        <x:v>S81</x:v>
      </x:c>
      <x:c r="B53" t="str">
        <x:f>'Katalog kart'!M39</x:f>
        <x:v>Potwory</x:v>
      </x:c>
      <x:c r="C53" t="str">
        <x:f>'Katalog kart'!D39</x:f>
        <x:v>Krwawy Homunkulus</x:v>
      </x:c>
      <x:c r="D53" t="str">
        <x:f>'Katalog kart'!B39</x:f>
        <x:v>Przy śmierci</x:v>
      </x:c>
      <x:c r="E53" t="str">
        <x:f>'Katalog kart'!C39</x:f>
        <x:v>MAX HP ±</x:v>
      </x:c>
      <x:c r="F53" t="n">
        <x:f>'Katalog kart'!E39</x:f>
        <x:v>4</x:v>
      </x:c>
      <x:c r="G53" t="n">
        <x:f>'Katalog kart'!F39</x:f>
        <x:v>7</x:v>
      </x:c>
      <x:c r="H53" t="n">
        <x:f>'Balans — karty'!H37</x:f>
        <x:v>0</x:v>
      </x:c>
      <x:c r="I53" t="n">
        <x:f>'Balans — karty'!I37</x:f>
        <x:v>2</x:v>
      </x:c>
      <x:c r="J53" t="n">
        <x:f>IF(OR(E53="Szybki atak",E53="Podwójny atak"),2,0)</x:f>
        <x:v>0</x:v>
      </x:c>
      <x:c r="K53" t="n">
        <x:f>IF(E53="Szybki atak",1,IF(OR(E53="Tarcza",E53="Prowokacja"),3,0))</x:f>
        <x:v>0</x:v>
      </x:c>
      <x:c r="L53" s="169" t="n">
        <x:v>5</x:v>
      </x:c>
      <x:c r="M53" s="169" t="n">
        <x:v>1</x:v>
      </x:c>
      <x:c r="N53" t="n">
        <x:f>IFERROR(VLOOKUP(D53,$G$5:$H$9,2,FALSE),0)</x:f>
        <x:v>0.6</x:v>
      </x:c>
      <x:c r="O53" t="n">
        <x:f>IFERROR(VLOOKUP(E53,$J$5:$K$18,2,FALSE),0)</x:f>
        <x:v>0.55</x:v>
      </x:c>
      <x:c r="P53" s="180" t="n">
        <x:f>$B$5*F53+$B$6*G53+$B$7*N53*O53*L53</x:f>
        <x:v>8.8</x:v>
      </x:c>
      <x:c r="Q53" s="180" t="n">
        <x:f>$B$5*(F53+3*H53+J53)+$B$6*(G53+3*I53+K53)+$B$7*N53*O53*(L53+M53)</x:f>
        <x:v>11.830000000000002</x:v>
      </x:c>
      <x:c r="R53" s="181" t="n">
        <x:f>IFERROR(Q53/(P53*(1+$B$8)^3)-1,0)</x:f>
        <x:v>-0.1387522411370251</x:v>
      </x:c>
      <x:c r="S53" t="str">
        <x:f>IF(R53&gt;$B$9,"Przetrzymaj 3T",IF(R53&lt;-$B$9,"Wystaw teraz","Zbliżona wartość"))</x:f>
        <x:v>Zbliżona wartość</x:v>
      </x:c>
      <x:c r="T53" t="str">
        <x:v>Ocena orientacyjna; potwierdź testami</x:v>
      </x:c>
    </x:row>
    <x:row r="54" ht="21" customHeight="1">
      <x:c r="A54" t="str">
        <x:v>S82</x:v>
      </x:c>
      <x:c r="B54" t="str">
        <x:f>'Katalog kart'!M40</x:f>
        <x:v>Potwory</x:v>
      </x:c>
      <x:c r="C54" t="str">
        <x:f>'Katalog kart'!D40</x:f>
        <x:v>Golem Grobowy</x:v>
      </x:c>
      <x:c r="D54" t="str">
        <x:f>'Katalog kart'!B40</x:f>
        <x:v>Przy śmierci</x:v>
      </x:c>
      <x:c r="E54" t="str">
        <x:f>'Katalog kart'!C40</x:f>
        <x:v>Pancerz</x:v>
      </x:c>
      <x:c r="F54" t="n">
        <x:f>'Katalog kart'!E40</x:f>
        <x:v>3</x:v>
      </x:c>
      <x:c r="G54" t="n">
        <x:f>'Katalog kart'!F40</x:f>
        <x:v>7</x:v>
      </x:c>
      <x:c r="H54" t="n">
        <x:f>'Balans — karty'!H38</x:f>
        <x:v>0</x:v>
      </x:c>
      <x:c r="I54" t="n">
        <x:f>'Balans — karty'!I38</x:f>
        <x:v>2</x:v>
      </x:c>
      <x:c r="J54" t="n">
        <x:f>IF(OR(E54="Szybki atak",E54="Podwójny atak"),2,0)</x:f>
        <x:v>0</x:v>
      </x:c>
      <x:c r="K54" t="n">
        <x:f>IF(E54="Szybki atak",1,IF(OR(E54="Tarcza",E54="Prowokacja"),3,0))</x:f>
        <x:v>0</x:v>
      </x:c>
      <x:c r="L54" s="169" t="n">
        <x:v>6</x:v>
      </x:c>
      <x:c r="M54" s="169" t="n">
        <x:v>1</x:v>
      </x:c>
      <x:c r="N54" t="n">
        <x:f>IFERROR(VLOOKUP(D54,$G$5:$H$9,2,FALSE),0)</x:f>
        <x:v>0.6</x:v>
      </x:c>
      <x:c r="O54" t="n">
        <x:f>IFERROR(VLOOKUP(E54,$J$5:$K$18,2,FALSE),0)</x:f>
        <x:v>0.65</x:v>
      </x:c>
      <x:c r="P54" s="180" t="n">
        <x:f>$B$5*F54+$B$6*G54+$B$7*N54*O54*L54</x:f>
        <x:v>8.49</x:v>
      </x:c>
      <x:c r="Q54" s="180" t="n">
        <x:f>$B$5*(F54+3*H54+J54)+$B$6*(G54+3*I54+K54)+$B$7*N54*O54*(L54+M54)</x:f>
        <x:v>11.580000000000002</x:v>
      </x:c>
      <x:c r="R54" s="181" t="n">
        <x:f>IFERROR(Q54/(P54*(1+$B$8)^3)-1,0)</x:f>
        <x:v>-0.12617009898600218</x:v>
      </x:c>
      <x:c r="S54" t="str">
        <x:f>IF(R54&gt;$B$9,"Przetrzymaj 3T",IF(R54&lt;-$B$9,"Wystaw teraz","Zbliżona wartość"))</x:f>
        <x:v>Zbliżona wartość</x:v>
      </x:c>
      <x:c r="T54" t="str">
        <x:v>Ocena orientacyjna; potwierdź testami</x:v>
      </x:c>
    </x:row>
    <x:row r="55" ht="21" customHeight="1">
      <x:c r="A55" t="str">
        <x:v>S20</x:v>
      </x:c>
      <x:c r="B55" t="str">
        <x:f>'Katalog kart'!M41</x:f>
        <x:v>Potwory</x:v>
      </x:c>
      <x:c r="C55" t="str">
        <x:f>'Katalog kart'!D41</x:f>
        <x:v>Strażnik Mauzoleum</x:v>
      </x:c>
      <x:c r="D55" t="str">
        <x:f>'Katalog kart'!B41</x:f>
        <x:v>Przy śmierci</x:v>
      </x:c>
      <x:c r="E55" t="str">
        <x:f>'Katalog kart'!C41</x:f>
        <x:v>Tarcza</x:v>
      </x:c>
      <x:c r="F55" t="n">
        <x:f>'Katalog kart'!E41</x:f>
        <x:v>4</x:v>
      </x:c>
      <x:c r="G55" t="n">
        <x:f>'Katalog kart'!F41</x:f>
        <x:v>7</x:v>
      </x:c>
      <x:c r="H55" t="n">
        <x:f>'Balans — karty'!H39</x:f>
        <x:v>0</x:v>
      </x:c>
      <x:c r="I55" t="n">
        <x:f>'Balans — karty'!I39</x:f>
        <x:v>2</x:v>
      </x:c>
      <x:c r="J55" t="n">
        <x:f>IF(OR(E55="Szybki atak",E55="Podwójny atak"),2,0)</x:f>
        <x:v>0</x:v>
      </x:c>
      <x:c r="K55" t="n">
        <x:f>IF(E55="Szybki atak",1,IF(OR(E55="Tarcza",E55="Prowokacja"),3,0))</x:f>
        <x:v>3</x:v>
      </x:c>
      <x:c r="L55" s="169" t="n">
        <x:v>1</x:v>
      </x:c>
      <x:c r="M55" s="169" t="n">
        <x:v>0</x:v>
      </x:c>
      <x:c r="N55" t="n">
        <x:f>IFERROR(VLOOKUP(D55,$G$5:$H$9,2,FALSE),0)</x:f>
        <x:v>0.6</x:v>
      </x:c>
      <x:c r="O55" t="n">
        <x:f>IFERROR(VLOOKUP(E55,$J$5:$K$18,2,FALSE),0)</x:f>
        <x:v>3</x:v>
      </x:c>
      <x:c r="P55" s="180" t="n">
        <x:f>$B$5*F55+$B$6*G55+$B$7*N55*O55*L55</x:f>
        <x:v>8.95</x:v>
      </x:c>
      <x:c r="Q55" s="180" t="n">
        <x:f>$B$5*(F55+3*H55+J55)+$B$6*(G55+3*I55+K55)+$B$7*N55*O55*(L55+M55)</x:f>
        <x:v>13</x:v>
      </x:c>
      <x:c r="R55" s="181" t="n">
        <x:f>IFERROR(Q55/(P55*(1+$B$8)^3)-1,0)</x:f>
        <x:v>-0.06943578144831741</x:v>
      </x:c>
      <x:c r="S55" t="str">
        <x:f>IF(R55&gt;$B$9,"Przetrzymaj 3T",IF(R55&lt;-$B$9,"Wystaw teraz","Zbliżona wartość"))</x:f>
        <x:v>Zbliżona wartość</x:v>
      </x:c>
      <x:c r="T55" t="str">
        <x:v>Ocena orientacyjna; potwierdź testami</x:v>
      </x:c>
    </x:row>
    <x:row r="56" ht="21" customHeight="1">
      <x:c r="A56" t="str">
        <x:v>S83</x:v>
      </x:c>
      <x:c r="B56" t="str">
        <x:f>'Katalog kart'!M42</x:f>
        <x:v>Potwory</x:v>
      </x:c>
      <x:c r="C56" t="str">
        <x:f>'Katalog kart'!D42</x:f>
        <x:v>Nosiciel Plagi</x:v>
      </x:c>
      <x:c r="D56" t="str">
        <x:f>'Katalog kart'!B42</x:f>
        <x:v>Przy śmierci</x:v>
      </x:c>
      <x:c r="E56" t="str">
        <x:f>'Katalog kart'!C42</x:f>
        <x:v>Trucizna</x:v>
      </x:c>
      <x:c r="F56" t="n">
        <x:f>'Katalog kart'!E42</x:f>
        <x:v>1</x:v>
      </x:c>
      <x:c r="G56" t="n">
        <x:f>'Katalog kart'!F42</x:f>
        <x:v>5</x:v>
      </x:c>
      <x:c r="H56" t="n">
        <x:f>'Balans — karty'!H40</x:f>
        <x:v>2</x:v>
      </x:c>
      <x:c r="I56" t="n">
        <x:f>'Balans — karty'!I40</x:f>
        <x:v>0</x:v>
      </x:c>
      <x:c r="J56" t="n">
        <x:f>IF(OR(E56="Szybki atak",E56="Podwójny atak"),2,0)</x:f>
        <x:v>0</x:v>
      </x:c>
      <x:c r="K56" t="n">
        <x:f>IF(E56="Szybki atak",1,IF(OR(E56="Tarcza",E56="Prowokacja"),3,0))</x:f>
        <x:v>0</x:v>
      </x:c>
      <x:c r="L56" s="169" t="n">
        <x:v>2</x:v>
      </x:c>
      <x:c r="M56" s="169" t="n">
        <x:v>1</x:v>
      </x:c>
      <x:c r="N56" t="n">
        <x:f>IFERROR(VLOOKUP(D56,$G$5:$H$9,2,FALSE),0)</x:f>
        <x:v>0.6</x:v>
      </x:c>
      <x:c r="O56" t="n">
        <x:f>IFERROR(VLOOKUP(E56,$J$5:$K$18,2,FALSE),0)</x:f>
        <x:v>1.5</x:v>
      </x:c>
      <x:c r="P56" s="180" t="n">
        <x:f>$B$5*F56+$B$6*G56+$B$7*N56*O56*L56</x:f>
        <x:v>5.05</x:v>
      </x:c>
      <x:c r="Q56" s="180" t="n">
        <x:f>$B$5*(F56+3*H56+J56)+$B$6*(G56+3*I56+K56)+$B$7*N56*O56*(L56+M56)</x:f>
        <x:v>11.95</x:v>
      </x:c>
      <x:c r="R56" s="181" t="n">
        <x:f>IFERROR(Q56/(P56*(1+$B$8)^3)-1,0)</x:f>
        <x:v>0.5160117225384437</x:v>
      </x:c>
      <x:c r="S56" t="str">
        <x:f>IF(R56&gt;$B$9,"Przetrzymaj 3T",IF(R56&lt;-$B$9,"Wystaw teraz","Zbliżona wartość"))</x:f>
        <x:v>Przetrzymaj 3T</x:v>
      </x:c>
      <x:c r="T56" t="str">
        <x:v>Ocena orientacyjna; potwierdź testami</x:v>
      </x:c>
    </x:row>
    <x:row r="57" ht="21" customHeight="1">
      <x:c r="A57" t="str">
        <x:v>S84</x:v>
      </x:c>
      <x:c r="B57" t="str">
        <x:f>'Katalog kart'!M43</x:f>
        <x:v>Potwory</x:v>
      </x:c>
      <x:c r="C57" t="str">
        <x:f>'Katalog kart'!D43</x:f>
        <x:v>Banshee Krzyku</x:v>
      </x:c>
      <x:c r="D57" t="str">
        <x:f>'Katalog kart'!B43</x:f>
        <x:v>Przy śmierci</x:v>
      </x:c>
      <x:c r="E57" t="str">
        <x:f>'Katalog kart'!C43</x:f>
        <x:v>Ogłuszenie</x:v>
      </x:c>
      <x:c r="F57" t="n">
        <x:f>'Katalog kart'!E43</x:f>
        <x:v>1</x:v>
      </x:c>
      <x:c r="G57" t="n">
        <x:f>'Katalog kart'!F43</x:f>
        <x:v>4</x:v>
      </x:c>
      <x:c r="H57" t="n">
        <x:f>'Balans — karty'!H41</x:f>
        <x:v>1</x:v>
      </x:c>
      <x:c r="I57" t="n">
        <x:f>'Balans — karty'!I41</x:f>
        <x:v>1</x:v>
      </x:c>
      <x:c r="J57" t="n">
        <x:f>IF(OR(E57="Szybki atak",E57="Podwójny atak"),2,0)</x:f>
        <x:v>0</x:v>
      </x:c>
      <x:c r="K57" t="n">
        <x:f>IF(E57="Szybki atak",1,IF(OR(E57="Tarcza",E57="Prowokacja"),3,0))</x:f>
        <x:v>0</x:v>
      </x:c>
      <x:c r="L57" s="169" t="n">
        <x:v>1</x:v>
      </x:c>
      <x:c r="M57" s="169" t="n">
        <x:v>1</x:v>
      </x:c>
      <x:c r="N57" t="n">
        <x:f>IFERROR(VLOOKUP(D57,$G$5:$H$9,2,FALSE),0)</x:f>
        <x:v>0.6</x:v>
      </x:c>
      <x:c r="O57" t="n">
        <x:f>IFERROR(VLOOKUP(E57,$J$5:$K$18,2,FALSE),0)</x:f>
        <x:v>2.5</x:v>
      </x:c>
      <x:c r="P57" s="180" t="n">
        <x:f>$B$5*F57+$B$6*G57+$B$7*N57*O57*L57</x:f>
        <x:v>4.3</x:v>
      </x:c>
      <x:c r="Q57" s="180" t="n">
        <x:f>$B$5*(F57+3*H57+J57)+$B$6*(G57+3*I57+K57)+$B$7*N57*O57*(L57+M57)</x:f>
        <x:v>10.15</x:v>
      </x:c>
      <x:c r="R57" s="181" t="n">
        <x:f>IFERROR(Q57/(P57*(1+$B$8)^3)-1,0)</x:f>
        <x:v>0.5122500898708628</x:v>
      </x:c>
      <x:c r="S57" t="str">
        <x:f>IF(R57&gt;$B$9,"Przetrzymaj 3T",IF(R57&lt;-$B$9,"Wystaw teraz","Zbliżona wartość"))</x:f>
        <x:v>Przetrzymaj 3T</x:v>
      </x:c>
      <x:c r="T57" t="str">
        <x:v>Ocena orientacyjna; potwierdź testami</x:v>
      </x:c>
    </x:row>
    <x:row r="58" ht="21" customHeight="1">
      <x:c r="A58" t="str">
        <x:v>S85</x:v>
      </x:c>
      <x:c r="B58" t="str">
        <x:f>'Katalog kart'!M44</x:f>
        <x:v>Potwory</x:v>
      </x:c>
      <x:c r="C58" t="str">
        <x:f>'Katalog kart'!D44</x:f>
        <x:v>Życiodajne Widmo</x:v>
      </x:c>
      <x:c r="D58" t="str">
        <x:f>'Katalog kart'!B44</x:f>
        <x:v>Przy śmierci</x:v>
      </x:c>
      <x:c r="E58" t="str">
        <x:f>'Katalog kart'!C44</x:f>
        <x:v>Regeneracja</x:v>
      </x:c>
      <x:c r="F58" t="n">
        <x:f>'Katalog kart'!E44</x:f>
        <x:v>3</x:v>
      </x:c>
      <x:c r="G58" t="n">
        <x:f>'Katalog kart'!F44</x:f>
        <x:v>6</x:v>
      </x:c>
      <x:c r="H58" t="n">
        <x:f>'Balans — karty'!H42</x:f>
        <x:v>0</x:v>
      </x:c>
      <x:c r="I58" t="n">
        <x:f>'Balans — karty'!I42</x:f>
        <x:v>2</x:v>
      </x:c>
      <x:c r="J58" t="n">
        <x:f>IF(OR(E58="Szybki atak",E58="Podwójny atak"),2,0)</x:f>
        <x:v>0</x:v>
      </x:c>
      <x:c r="K58" t="n">
        <x:f>IF(E58="Szybki atak",1,IF(OR(E58="Tarcza",E58="Prowokacja"),3,0))</x:f>
        <x:v>0</x:v>
      </x:c>
      <x:c r="L58" s="169" t="n">
        <x:v>3</x:v>
      </x:c>
      <x:c r="M58" s="169" t="n">
        <x:v>1</x:v>
      </x:c>
      <x:c r="N58" t="n">
        <x:f>IFERROR(VLOOKUP(D58,$G$5:$H$9,2,FALSE),0)</x:f>
        <x:v>0.6</x:v>
      </x:c>
      <x:c r="O58" t="n">
        <x:f>IFERROR(VLOOKUP(E58,$J$5:$K$18,2,FALSE),0)</x:f>
        <x:v>0.85</x:v>
      </x:c>
      <x:c r="P58" s="180" t="n">
        <x:f>$B$5*F58+$B$6*G58+$B$7*N58*O58*L58</x:f>
        <x:v>7.23</x:v>
      </x:c>
      <x:c r="Q58" s="180" t="n">
        <x:f>$B$5*(F58+3*H58+J58)+$B$6*(G58+3*I58+K58)+$B$7*N58*O58*(L58+M58)</x:f>
        <x:v>10.440000000000001</x:v>
      </x:c>
      <x:c r="R58" s="181" t="n">
        <x:f>IFERROR(Q58/(P58*(1+$B$8)^3)-1,0)</x:f>
        <x:v>-0.07490095272867203</x:v>
      </x:c>
      <x:c r="S58" t="str">
        <x:f>IF(R58&gt;$B$9,"Przetrzymaj 3T",IF(R58&lt;-$B$9,"Wystaw teraz","Zbliżona wartość"))</x:f>
        <x:v>Zbliżona wartość</x:v>
      </x:c>
      <x:c r="T58" t="str">
        <x:v>Ocena orientacyjna; potwierdź testami</x:v>
      </x:c>
    </x:row>
    <x:row r="59" ht="21" customHeight="1">
      <x:c r="A59" t="str">
        <x:v>S86</x:v>
      </x:c>
      <x:c r="B59" t="str">
        <x:f>'Katalog kart'!M45</x:f>
        <x:v>Potwory</x:v>
      </x:c>
      <x:c r="C59" t="str">
        <x:f>'Katalog kart'!D45</x:f>
        <x:v>Trupi Wartownik</x:v>
      </x:c>
      <x:c r="D59" t="str">
        <x:f>'Katalog kart'!B45</x:f>
        <x:v>Przy śmierci</x:v>
      </x:c>
      <x:c r="E59" t="str">
        <x:f>'Katalog kart'!C45</x:f>
        <x:v>Prowokacja</x:v>
      </x:c>
      <x:c r="F59" t="n">
        <x:f>'Katalog kart'!E45</x:f>
        <x:v>3</x:v>
      </x:c>
      <x:c r="G59" t="n">
        <x:f>'Katalog kart'!F45</x:f>
        <x:v>9</x:v>
      </x:c>
      <x:c r="H59" t="n">
        <x:f>'Balans — karty'!H43</x:f>
        <x:v>0</x:v>
      </x:c>
      <x:c r="I59" t="n">
        <x:f>'Balans — karty'!I43</x:f>
        <x:v>2</x:v>
      </x:c>
      <x:c r="J59" t="n">
        <x:f>IF(OR(E59="Szybki atak",E59="Podwójny atak"),2,0)</x:f>
        <x:v>0</x:v>
      </x:c>
      <x:c r="K59" t="n">
        <x:f>IF(E59="Szybki atak",1,IF(OR(E59="Tarcza",E59="Prowokacja"),3,0))</x:f>
        <x:v>3</x:v>
      </x:c>
      <x:c r="L59" s="169" t="n">
        <x:v>1</x:v>
      </x:c>
      <x:c r="M59" s="169" t="n">
        <x:v>0</x:v>
      </x:c>
      <x:c r="N59" t="n">
        <x:f>IFERROR(VLOOKUP(D59,$G$5:$H$9,2,FALSE),0)</x:f>
        <x:v>0.6</x:v>
      </x:c>
      <x:c r="O59" t="n">
        <x:f>IFERROR(VLOOKUP(E59,$J$5:$K$18,2,FALSE),0)</x:f>
        <x:v>2.4</x:v>
      </x:c>
      <x:c r="P59" s="180" t="n">
        <x:f>$B$5*F59+$B$6*G59+$B$7*N59*O59*L59</x:f>
        <x:v>8.49</x:v>
      </x:c>
      <x:c r="Q59" s="180" t="n">
        <x:f>$B$5*(F59+3*H59+J59)+$B$6*(G59+3*I59+K59)+$B$7*N59*O59*(L59+M59)</x:f>
        <x:v>12.54</x:v>
      </x:c>
      <x:c r="R59" s="181" t="n">
        <x:f>IFERROR(Q59/(P59*(1+$B$8)^3)-1,0)</x:f>
        <x:v>-0.053728241907121665</x:v>
      </x:c>
      <x:c r="S59" t="str">
        <x:f>IF(R59&gt;$B$9,"Przetrzymaj 3T",IF(R59&lt;-$B$9,"Wystaw teraz","Zbliżona wartość"))</x:f>
        <x:v>Zbliżona wartość</x:v>
      </x:c>
      <x:c r="T59" t="str">
        <x:v>Ocena orientacyjna; potwierdź testami</x:v>
      </x:c>
    </x:row>
    <x:row r="60" ht="21" customHeight="1">
      <x:c r="A60" t="str">
        <x:v>S87</x:v>
      </x:c>
      <x:c r="B60" t="str">
        <x:f>'Katalog kart'!M46</x:f>
        <x:v>Potwory</x:v>
      </x:c>
      <x:c r="C60" t="str">
        <x:f>'Katalog kart'!D46</x:f>
        <x:v>Widmo Rozproszenia</x:v>
      </x:c>
      <x:c r="D60" t="str">
        <x:f>'Katalog kart'!B46</x:f>
        <x:v>Przy śmierci</x:v>
      </x:c>
      <x:c r="E60" t="str">
        <x:f>'Katalog kart'!C46</x:f>
        <x:v>Oczyszczanie</x:v>
      </x:c>
      <x:c r="F60" t="n">
        <x:f>'Katalog kart'!E46</x:f>
        <x:v>1</x:v>
      </x:c>
      <x:c r="G60" t="n">
        <x:f>'Katalog kart'!F46</x:f>
        <x:v>6</x:v>
      </x:c>
      <x:c r="H60" t="n">
        <x:f>'Balans — karty'!H44</x:f>
        <x:v>1</x:v>
      </x:c>
      <x:c r="I60" t="n">
        <x:f>'Balans — karty'!I44</x:f>
        <x:v>1</x:v>
      </x:c>
      <x:c r="J60" t="n">
        <x:f>IF(OR(E60="Szybki atak",E60="Podwójny atak"),2,0)</x:f>
        <x:v>0</x:v>
      </x:c>
      <x:c r="K60" t="n">
        <x:f>IF(E60="Szybki atak",1,IF(OR(E60="Tarcza",E60="Prowokacja"),3,0))</x:f>
        <x:v>0</x:v>
      </x:c>
      <x:c r="L60" s="169" t="n">
        <x:v>2</x:v>
      </x:c>
      <x:c r="M60" s="169" t="n">
        <x:v>1</x:v>
      </x:c>
      <x:c r="N60" t="n">
        <x:f>IFERROR(VLOOKUP(D60,$G$5:$H$9,2,FALSE),0)</x:f>
        <x:v>0.6</x:v>
      </x:c>
      <x:c r="O60" t="n">
        <x:f>IFERROR(VLOOKUP(E60,$J$5:$K$18,2,FALSE),0)</x:f>
        <x:v>1.7</x:v>
      </x:c>
      <x:c r="P60" s="180" t="n">
        <x:f>$B$5*F60+$B$6*G60+$B$7*N60*O60*L60</x:f>
        <x:v>5.74</x:v>
      </x:c>
      <x:c r="Q60" s="180" t="n">
        <x:f>$B$5*(F60+3*H60+J60)+$B$6*(G60+3*I60+K60)+$B$7*N60*O60*(L60+M60)</x:f>
        <x:v>11.110000000000001</x:v>
      </x:c>
      <x:c r="R60" s="181" t="n">
        <x:f>IFERROR(Q60/(P60*(1+$B$8)^3)-1,0)</x:f>
        <x:v>0.24001859809136006</x:v>
      </x:c>
      <x:c r="S60" t="str">
        <x:f>IF(R60&gt;$B$9,"Przetrzymaj 3T",IF(R60&lt;-$B$9,"Wystaw teraz","Zbliżona wartość"))</x:f>
        <x:v>Przetrzymaj 3T</x:v>
      </x:c>
      <x:c r="T60" t="str">
        <x:v>Ocena orientacyjna; potwierdź testami</x:v>
      </x:c>
    </x:row>
    <x:row r="61" ht="21" customHeight="1">
      <x:c r="A61" t="str">
        <x:v>S88</x:v>
      </x:c>
      <x:c r="B61" t="str">
        <x:f>'Katalog kart'!M47</x:f>
        <x:v>Potwory</x:v>
      </x:c>
      <x:c r="C61" t="str">
        <x:f>'Katalog kart'!D47</x:f>
        <x:v>Grobowy Antymag</x:v>
      </x:c>
      <x:c r="D61" t="str">
        <x:f>'Katalog kart'!B47</x:f>
        <x:v>Przy śmierci</x:v>
      </x:c>
      <x:c r="E61" t="str">
        <x:f>'Katalog kart'!C47</x:f>
        <x:v>Odporność</x:v>
      </x:c>
      <x:c r="F61" t="n">
        <x:f>'Katalog kart'!E47</x:f>
        <x:v>4</x:v>
      </x:c>
      <x:c r="G61" t="n">
        <x:f>'Katalog kart'!F47</x:f>
        <x:v>7</x:v>
      </x:c>
      <x:c r="H61" t="n">
        <x:f>'Balans — karty'!H45</x:f>
        <x:v>0</x:v>
      </x:c>
      <x:c r="I61" t="n">
        <x:f>'Balans — karty'!I45</x:f>
        <x:v>2</x:v>
      </x:c>
      <x:c r="J61" t="n">
        <x:f>IF(OR(E61="Szybki atak",E61="Podwójny atak"),2,0)</x:f>
        <x:v>0</x:v>
      </x:c>
      <x:c r="K61" t="n">
        <x:f>IF(E61="Szybki atak",1,IF(OR(E61="Tarcza",E61="Prowokacja"),3,0))</x:f>
        <x:v>0</x:v>
      </x:c>
      <x:c r="L61" s="169" t="n">
        <x:v>1</x:v>
      </x:c>
      <x:c r="M61" s="169" t="n">
        <x:v>1</x:v>
      </x:c>
      <x:c r="N61" t="n">
        <x:f>IFERROR(VLOOKUP(D61,$G$5:$H$9,2,FALSE),0)</x:f>
        <x:v>0.6</x:v>
      </x:c>
      <x:c r="O61" t="n">
        <x:f>IFERROR(VLOOKUP(E61,$J$5:$K$18,2,FALSE),0)</x:f>
        <x:v>1.4</x:v>
      </x:c>
      <x:c r="P61" s="180" t="n">
        <x:f>$B$5*F61+$B$6*G61+$B$7*N61*O61*L61</x:f>
        <x:v>7.99</x:v>
      </x:c>
      <x:c r="Q61" s="180" t="n">
        <x:f>$B$5*(F61+3*H61+J61)+$B$6*(G61+3*I61+K61)+$B$7*N61*O61*(L61+M61)</x:f>
        <x:v>11.530000000000001</x:v>
      </x:c>
      <x:c r="R61" s="181" t="n">
        <x:f>IFERROR(Q61/(P61*(1+$B$8)^3)-1,0)</x:f>
        <x:v>-0.07549649863181807</x:v>
      </x:c>
      <x:c r="S61" t="str">
        <x:f>IF(R61&gt;$B$9,"Przetrzymaj 3T",IF(R61&lt;-$B$9,"Wystaw teraz","Zbliżona wartość"))</x:f>
        <x:v>Zbliżona wartość</x:v>
      </x:c>
      <x:c r="T61" t="str">
        <x:v>Ocena orientacyjna; potwierdź testami</x:v>
      </x:c>
    </x:row>
    <x:row r="62" ht="21" customHeight="1">
      <x:c r="A62" t="str">
        <x:v>S90</x:v>
      </x:c>
      <x:c r="B62" t="str">
        <x:f>'Katalog kart'!M48</x:f>
        <x:v>Potwory</x:v>
      </x:c>
      <x:c r="C62" t="str">
        <x:f>'Katalog kart'!D48</x:f>
        <x:v>Koszmar Błyskawic</x:v>
      </x:c>
      <x:c r="D62" t="str">
        <x:f>'Katalog kart'!B48</x:f>
        <x:v>Przy śmierci</x:v>
      </x:c>
      <x:c r="E62" t="str">
        <x:f>'Katalog kart'!C48</x:f>
        <x:v>Szybki atak</x:v>
      </x:c>
      <x:c r="F62" t="n">
        <x:f>'Katalog kart'!E48</x:f>
        <x:v>2</x:v>
      </x:c>
      <x:c r="G62" t="n">
        <x:f>'Katalog kart'!F48</x:f>
        <x:v>4</x:v>
      </x:c>
      <x:c r="H62" t="n">
        <x:f>'Balans — karty'!H46</x:f>
        <x:v>2</x:v>
      </x:c>
      <x:c r="I62" t="n">
        <x:f>'Balans — karty'!I46</x:f>
        <x:v>0</x:v>
      </x:c>
      <x:c r="J62" t="n">
        <x:f>IF(OR(E62="Szybki atak",E62="Podwójny atak"),2,0)</x:f>
        <x:v>2</x:v>
      </x:c>
      <x:c r="K62" t="n">
        <x:f>IF(E62="Szybki atak",1,IF(OR(E62="Tarcza",E62="Prowokacja"),3,0))</x:f>
        <x:v>1</x:v>
      </x:c>
      <x:c r="L62" s="169" t="n">
        <x:v>1</x:v>
      </x:c>
      <x:c r="M62" s="169" t="n">
        <x:v>0</x:v>
      </x:c>
      <x:c r="N62" t="n">
        <x:f>IFERROR(VLOOKUP(D62,$G$5:$H$9,2,FALSE),0)</x:f>
        <x:v>0.6</x:v>
      </x:c>
      <x:c r="O62" t="n">
        <x:f>IFERROR(VLOOKUP(E62,$J$5:$K$18,2,FALSE),0)</x:f>
        <x:v>2.6</x:v>
      </x:c>
      <x:c r="P62" s="180" t="n">
        <x:f>$B$5*F62+$B$6*G62+$B$7*N62*O62*L62</x:f>
        <x:v>5.359999999999999</x:v>
      </x:c>
      <x:c r="Q62" s="180" t="n">
        <x:f>$B$5*(F62+3*H62+J62)+$B$6*(G62+3*I62+K62)+$B$7*N62*O62*(L62+M62)</x:f>
        <x:v>13.81</x:v>
      </x:c>
      <x:c r="R62" s="181" t="n">
        <x:f>IFERROR(Q62/(P62*(1+$B$8)^3)-1,0)</x:f>
        <x:v>0.650649714851876</x:v>
      </x:c>
      <x:c r="S62" t="str">
        <x:f>IF(R62&gt;$B$9,"Przetrzymaj 3T",IF(R62&lt;-$B$9,"Wystaw teraz","Zbliżona wartość"))</x:f>
        <x:v>Przetrzymaj 3T</x:v>
      </x:c>
      <x:c r="T62" t="str">
        <x:v>Ocena orientacyjna; potwierdź testami</x:v>
      </x:c>
    </x:row>
    <x:row r="63" ht="21" customHeight="1">
      <x:c r="A63" t="str">
        <x:v>S91</x:v>
      </x:c>
      <x:c r="B63" t="str">
        <x:f>'Katalog kart'!M49</x:f>
        <x:v>Potwory</x:v>
      </x:c>
      <x:c r="C63" t="str">
        <x:f>'Katalog kart'!D49</x:f>
        <x:v>Dwuszczęki Horror</x:v>
      </x:c>
      <x:c r="D63" t="str">
        <x:f>'Katalog kart'!B49</x:f>
        <x:v>Przy śmierci</x:v>
      </x:c>
      <x:c r="E63" t="str">
        <x:f>'Katalog kart'!C49</x:f>
        <x:v>Podwójny atak</x:v>
      </x:c>
      <x:c r="F63" t="n">
        <x:f>'Katalog kart'!E49</x:f>
        <x:v>1</x:v>
      </x:c>
      <x:c r="G63" t="n">
        <x:f>'Katalog kart'!F49</x:f>
        <x:v>5</x:v>
      </x:c>
      <x:c r="H63" t="n">
        <x:f>'Balans — karty'!H47</x:f>
        <x:v>2</x:v>
      </x:c>
      <x:c r="I63" t="n">
        <x:f>'Balans — karty'!I47</x:f>
        <x:v>0</x:v>
      </x:c>
      <x:c r="J63" t="n">
        <x:f>IF(OR(E63="Szybki atak",E63="Podwójny atak"),2,0)</x:f>
        <x:v>2</x:v>
      </x:c>
      <x:c r="K63" t="n">
        <x:f>IF(E63="Szybki atak",1,IF(OR(E63="Tarcza",E63="Prowokacja"),3,0))</x:f>
        <x:v>0</x:v>
      </x:c>
      <x:c r="L63" s="169" t="n">
        <x:v>1</x:v>
      </x:c>
      <x:c r="M63" s="169" t="n">
        <x:v>0</x:v>
      </x:c>
      <x:c r="N63" t="n">
        <x:f>IFERROR(VLOOKUP(D63,$G$5:$H$9,2,FALSE),0)</x:f>
        <x:v>0.6</x:v>
      </x:c>
      <x:c r="O63" t="n">
        <x:f>IFERROR(VLOOKUP(E63,$J$5:$K$18,2,FALSE),0)</x:f>
        <x:v>3.2</x:v>
      </x:c>
      <x:c r="P63" s="180" t="n">
        <x:f>$B$5*F63+$B$6*G63+$B$7*N63*O63*L63</x:f>
        <x:v>5.17</x:v>
      </x:c>
      <x:c r="Q63" s="180" t="n">
        <x:f>$B$5*(F63+3*H63+J63)+$B$6*(G63+3*I63+K63)+$B$7*N63*O63*(L63+M63)</x:f>
        <x:v>13.17</x:v>
      </x:c>
      <x:c r="R63" s="181" t="n">
        <x:f>IFERROR(Q63/(P63*(1+$B$8)^3)-1,0)</x:f>
        <x:v>0.6320041703171351</x:v>
      </x:c>
      <x:c r="S63" t="str">
        <x:f>IF(R63&gt;$B$9,"Przetrzymaj 3T",IF(R63&lt;-$B$9,"Wystaw teraz","Zbliżona wartość"))</x:f>
        <x:v>Przetrzymaj 3T</x:v>
      </x:c>
      <x:c r="T63" t="str">
        <x:v>Ocena orientacyjna; potwierdź testami</x:v>
      </x:c>
    </x:row>
    <x:row r="64" ht="21" customHeight="1">
      <x:c r="A64" t="str">
        <x:v>S27</x:v>
      </x:c>
      <x:c r="B64" t="str">
        <x:f>'Katalog kart'!M50</x:f>
        <x:v>Krasnoludy</x:v>
      </x:c>
      <x:c r="C64" t="str">
        <x:f>'Katalog kart'!D50</x:f>
        <x:v>Kusznik Runiczny</x:v>
      </x:c>
      <x:c r="D64" t="str">
        <x:f>'Katalog kart'!B50</x:f>
        <x:v>Na koniec tury</x:v>
      </x:c>
      <x:c r="E64" t="str">
        <x:f>'Katalog kart'!C50</x:f>
        <x:v>Obrażenia</x:v>
      </x:c>
      <x:c r="F64" t="n">
        <x:f>'Katalog kart'!E50</x:f>
        <x:v>1</x:v>
      </x:c>
      <x:c r="G64" t="n">
        <x:f>'Katalog kart'!F50</x:f>
        <x:v>6</x:v>
      </x:c>
      <x:c r="H64" t="n">
        <x:f>'Balans — karty'!H48</x:f>
        <x:v>1</x:v>
      </x:c>
      <x:c r="I64" t="n">
        <x:f>'Balans — karty'!I48</x:f>
        <x:v>1</x:v>
      </x:c>
      <x:c r="J64" t="n">
        <x:f>IF(OR(E64="Szybki atak",E64="Podwójny atak"),2,0)</x:f>
        <x:v>0</x:v>
      </x:c>
      <x:c r="K64" t="n">
        <x:f>IF(E64="Szybki atak",1,IF(OR(E64="Tarcza",E64="Prowokacja"),3,0))</x:f>
        <x:v>0</x:v>
      </x:c>
      <x:c r="L64" s="169" t="n">
        <x:v>1</x:v>
      </x:c>
      <x:c r="M64" s="169" t="n">
        <x:v>1</x:v>
      </x:c>
      <x:c r="N64" t="n">
        <x:f>IFERROR(VLOOKUP(D64,$G$5:$H$9,2,FALSE),0)</x:f>
        <x:v>2.5</x:v>
      </x:c>
      <x:c r="O64" t="n">
        <x:f>IFERROR(VLOOKUP(E64,$J$5:$K$18,2,FALSE),0)</x:f>
        <x:v>1</x:v>
      </x:c>
      <x:c r="P64" s="180" t="n">
        <x:f>$B$5*F64+$B$6*G64+$B$7*N64*O64*L64</x:f>
        <x:v>6.2</x:v>
      </x:c>
      <x:c r="Q64" s="180" t="n">
        <x:f>$B$5*(F64+3*H64+J64)+$B$6*(G64+3*I64+K64)+$B$7*N64*O64*(L64+M64)</x:f>
        <x:v>13.05</x:v>
      </x:c>
      <x:c r="R64" s="181" t="n">
        <x:f>IFERROR(Q64/(P64*(1+$B$8)^3)-1,0)</x:f>
        <x:v>0.3484810709217141</x:v>
      </x:c>
      <x:c r="S64" t="str">
        <x:f>IF(R64&gt;$B$9,"Przetrzymaj 3T",IF(R64&lt;-$B$9,"Wystaw teraz","Zbliżona wartość"))</x:f>
        <x:v>Przetrzymaj 3T</x:v>
      </x:c>
      <x:c r="T64" t="str">
        <x:v>Ocena orientacyjna; potwierdź testami</x:v>
      </x:c>
    </x:row>
    <x:row r="65" ht="21" customHeight="1">
      <x:c r="A65" t="str">
        <x:v>S25</x:v>
      </x:c>
      <x:c r="B65" t="str">
        <x:f>'Katalog kart'!M51</x:f>
        <x:v>Krasnoludy</x:v>
      </x:c>
      <x:c r="C65" t="str">
        <x:f>'Katalog kart'!D51</x:f>
        <x:v>Medyk Górniczy</x:v>
      </x:c>
      <x:c r="D65" t="str">
        <x:f>'Katalog kart'!B51</x:f>
        <x:v>Na koniec tury</x:v>
      </x:c>
      <x:c r="E65" t="str">
        <x:f>'Katalog kart'!C51</x:f>
        <x:v>Leczenie</x:v>
      </x:c>
      <x:c r="F65" t="n">
        <x:f>'Katalog kart'!E51</x:f>
        <x:v>2</x:v>
      </x:c>
      <x:c r="G65" t="n">
        <x:f>'Katalog kart'!F51</x:f>
        <x:v>7</x:v>
      </x:c>
      <x:c r="H65" t="n">
        <x:f>'Balans — karty'!H49</x:f>
        <x:v>0</x:v>
      </x:c>
      <x:c r="I65" t="n">
        <x:f>'Balans — karty'!I49</x:f>
        <x:v>2</x:v>
      </x:c>
      <x:c r="J65" t="n">
        <x:f>IF(OR(E65="Szybki atak",E65="Podwójny atak"),2,0)</x:f>
        <x:v>0</x:v>
      </x:c>
      <x:c r="K65" t="n">
        <x:f>IF(E65="Szybki atak",1,IF(OR(E65="Tarcza",E65="Prowokacja"),3,0))</x:f>
        <x:v>0</x:v>
      </x:c>
      <x:c r="L65" s="169" t="n">
        <x:v>2</x:v>
      </x:c>
      <x:c r="M65" s="169" t="n">
        <x:v>1</x:v>
      </x:c>
      <x:c r="N65" t="n">
        <x:f>IFERROR(VLOOKUP(D65,$G$5:$H$9,2,FALSE),0)</x:f>
        <x:v>2.5</x:v>
      </x:c>
      <x:c r="O65" t="n">
        <x:f>IFERROR(VLOOKUP(E65,$J$5:$K$18,2,FALSE),0)</x:f>
        <x:v>0.75</x:v>
      </x:c>
      <x:c r="P65" s="180" t="n">
        <x:f>$B$5*F65+$B$6*G65+$B$7*N65*O65*L65</x:f>
        <x:v>8.9</x:v>
      </x:c>
      <x:c r="Q65" s="180" t="n">
        <x:f>$B$5*(F65+3*H65+J65)+$B$6*(G65+3*I65+K65)+$B$7*N65*O65*(L65+M65)</x:f>
        <x:v>13.475000000000001</x:v>
      </x:c>
      <x:c r="R65" s="181" t="n">
        <x:f>IFERROR(Q65/(P65*(1+$B$8)^3)-1,0)</x:f>
        <x:v>-0.03001548865508974</x:v>
      </x:c>
      <x:c r="S65" t="str">
        <x:f>IF(R65&gt;$B$9,"Przetrzymaj 3T",IF(R65&lt;-$B$9,"Wystaw teraz","Zbliżona wartość"))</x:f>
        <x:v>Zbliżona wartość</x:v>
      </x:c>
      <x:c r="T65" t="str">
        <x:v>Ocena orientacyjna; potwierdź testami</x:v>
      </x:c>
    </x:row>
    <x:row r="66" ht="21" customHeight="1">
      <x:c r="A66" t="str">
        <x:v>S28</x:v>
      </x:c>
      <x:c r="B66" t="str">
        <x:f>'Katalog kart'!M52</x:f>
        <x:v>Krasnoludy</x:v>
      </x:c>
      <x:c r="C66" t="str">
        <x:f>'Katalog kart'!D52</x:f>
        <x:v>Mistrz Run Bitewnych</x:v>
      </x:c>
      <x:c r="D66" t="str">
        <x:f>'Katalog kart'!B52</x:f>
        <x:v>Na koniec tury</x:v>
      </x:c>
      <x:c r="E66" t="str">
        <x:f>'Katalog kart'!C52</x:f>
        <x:v>ATK ±</x:v>
      </x:c>
      <x:c r="F66" t="n">
        <x:f>'Katalog kart'!E52</x:f>
        <x:v>1</x:v>
      </x:c>
      <x:c r="G66" t="n">
        <x:f>'Katalog kart'!F52</x:f>
        <x:v>5</x:v>
      </x:c>
      <x:c r="H66" t="n">
        <x:f>'Balans — karty'!H50</x:f>
        <x:v>2</x:v>
      </x:c>
      <x:c r="I66" t="n">
        <x:f>'Balans — karty'!I50</x:f>
        <x:v>0</x:v>
      </x:c>
      <x:c r="J66" t="n">
        <x:f>IF(OR(E66="Szybki atak",E66="Podwójny atak"),2,0)</x:f>
        <x:v>0</x:v>
      </x:c>
      <x:c r="K66" t="n">
        <x:f>IF(E66="Szybki atak",1,IF(OR(E66="Tarcza",E66="Prowokacja"),3,0))</x:f>
        <x:v>0</x:v>
      </x:c>
      <x:c r="L66" s="169" t="n">
        <x:v>1</x:v>
      </x:c>
      <x:c r="M66" s="169" t="n">
        <x:v>1</x:v>
      </x:c>
      <x:c r="N66" t="n">
        <x:f>IFERROR(VLOOKUP(D66,$G$5:$H$9,2,FALSE),0)</x:f>
        <x:v>2.5</x:v>
      </x:c>
      <x:c r="O66" t="n">
        <x:f>IFERROR(VLOOKUP(E66,$J$5:$K$18,2,FALSE),0)</x:f>
        <x:v>0.95</x:v>
      </x:c>
      <x:c r="P66" s="180" t="n">
        <x:f>$B$5*F66+$B$6*G66+$B$7*N66*O66*L66</x:f>
        <x:v>5.625</x:v>
      </x:c>
      <x:c r="Q66" s="180" t="n">
        <x:f>$B$5*(F66+3*H66+J66)+$B$6*(G66+3*I66+K66)+$B$7*N66*O66*(L66+M66)</x:f>
        <x:v>14</x:v>
      </x:c>
      <x:c r="R66" s="181" t="n">
        <x:f>IFERROR(Q66/(P66*(1+$B$8)^3)-1,0)</x:f>
        <x:v>0.5945257652584728</x:v>
      </x:c>
      <x:c r="S66" t="str">
        <x:f>IF(R66&gt;$B$9,"Przetrzymaj 3T",IF(R66&lt;-$B$9,"Wystaw teraz","Zbliżona wartość"))</x:f>
        <x:v>Przetrzymaj 3T</x:v>
      </x:c>
      <x:c r="T66" t="str">
        <x:v>Ocena orientacyjna; potwierdź testami</x:v>
      </x:c>
    </x:row>
    <x:row r="67" ht="21" customHeight="1">
      <x:c r="A67" t="str">
        <x:v>S93</x:v>
      </x:c>
      <x:c r="B67" t="str">
        <x:f>'Katalog kart'!M53</x:f>
        <x:v>Krasnoludy</x:v>
      </x:c>
      <x:c r="C67" t="str">
        <x:f>'Katalog kart'!D53</x:f>
        <x:v>Kowal Życiostali</x:v>
      </x:c>
      <x:c r="D67" t="str">
        <x:f>'Katalog kart'!B53</x:f>
        <x:v>Na koniec tury</x:v>
      </x:c>
      <x:c r="E67" t="str">
        <x:f>'Katalog kart'!C53</x:f>
        <x:v>MAX HP ±</x:v>
      </x:c>
      <x:c r="F67" t="n">
        <x:f>'Katalog kart'!E53</x:f>
        <x:v>3</x:v>
      </x:c>
      <x:c r="G67" t="n">
        <x:f>'Katalog kart'!F53</x:f>
        <x:v>6</x:v>
      </x:c>
      <x:c r="H67" t="n">
        <x:f>'Balans — karty'!H51</x:f>
        <x:v>0</x:v>
      </x:c>
      <x:c r="I67" t="n">
        <x:f>'Balans — karty'!I51</x:f>
        <x:v>2</x:v>
      </x:c>
      <x:c r="J67" t="n">
        <x:f>IF(OR(E67="Szybki atak",E67="Podwójny atak"),2,0)</x:f>
        <x:v>0</x:v>
      </x:c>
      <x:c r="K67" t="n">
        <x:f>IF(E67="Szybki atak",1,IF(OR(E67="Tarcza",E67="Prowokacja"),3,0))</x:f>
        <x:v>0</x:v>
      </x:c>
      <x:c r="L67" s="169" t="n">
        <x:v>1</x:v>
      </x:c>
      <x:c r="M67" s="169" t="n">
        <x:v>1</x:v>
      </x:c>
      <x:c r="N67" t="n">
        <x:f>IFERROR(VLOOKUP(D67,$G$5:$H$9,2,FALSE),0)</x:f>
        <x:v>2.5</x:v>
      </x:c>
      <x:c r="O67" t="n">
        <x:f>IFERROR(VLOOKUP(E67,$J$5:$K$18,2,FALSE),0)</x:f>
        <x:v>0.55</x:v>
      </x:c>
      <x:c r="P67" s="180" t="n">
        <x:f>$B$5*F67+$B$6*G67+$B$7*N67*O67*L67</x:f>
        <x:v>7.075</x:v>
      </x:c>
      <x:c r="Q67" s="180" t="n">
        <x:f>$B$5*(F67+3*H67+J67)+$B$6*(G67+3*I67+K67)+$B$7*N67*O67*(L67+M67)</x:f>
        <x:v>11.15</x:v>
      </x:c>
      <x:c r="R67" s="181" t="n">
        <x:f>IFERROR(Q67/(P67*(1+$B$8)^3)-1,0)</x:f>
        <x:v>0.009658383036899032</x:v>
      </x:c>
      <x:c r="S67" t="str">
        <x:f>IF(R67&gt;$B$9,"Przetrzymaj 3T",IF(R67&lt;-$B$9,"Wystaw teraz","Zbliżona wartość"))</x:f>
        <x:v>Zbliżona wartość</x:v>
      </x:c>
      <x:c r="T67" t="str">
        <x:v>Ocena orientacyjna; potwierdź testami</x:v>
      </x:c>
    </x:row>
    <x:row r="68" ht="21" customHeight="1">
      <x:c r="A68" t="str">
        <x:v>S26</x:v>
      </x:c>
      <x:c r="B68" t="str">
        <x:f>'Katalog kart'!M54</x:f>
        <x:v>Krasnoludy</x:v>
      </x:c>
      <x:c r="C68" t="str">
        <x:f>'Katalog kart'!D54</x:f>
        <x:v>Kowal Żelaznej Kuźni</x:v>
      </x:c>
      <x:c r="D68" t="str">
        <x:f>'Katalog kart'!B54</x:f>
        <x:v>Na koniec tury</x:v>
      </x:c>
      <x:c r="E68" t="str">
        <x:f>'Katalog kart'!C54</x:f>
        <x:v>Pancerz</x:v>
      </x:c>
      <x:c r="F68" t="n">
        <x:f>'Katalog kart'!E54</x:f>
        <x:v>2</x:v>
      </x:c>
      <x:c r="G68" t="n">
        <x:f>'Katalog kart'!F54</x:f>
        <x:v>6</x:v>
      </x:c>
      <x:c r="H68" t="n">
        <x:f>'Balans — karty'!H52</x:f>
        <x:v>0</x:v>
      </x:c>
      <x:c r="I68" t="n">
        <x:f>'Balans — karty'!I52</x:f>
        <x:v>2</x:v>
      </x:c>
      <x:c r="J68" t="n">
        <x:f>IF(OR(E68="Szybki atak",E68="Podwójny atak"),2,0)</x:f>
        <x:v>0</x:v>
      </x:c>
      <x:c r="K68" t="n">
        <x:f>IF(E68="Szybki atak",1,IF(OR(E68="Tarcza",E68="Prowokacja"),3,0))</x:f>
        <x:v>0</x:v>
      </x:c>
      <x:c r="L68" s="169" t="n">
        <x:v>2</x:v>
      </x:c>
      <x:c r="M68" s="169" t="n">
        <x:v>1</x:v>
      </x:c>
      <x:c r="N68" t="n">
        <x:f>IFERROR(VLOOKUP(D68,$G$5:$H$9,2,FALSE),0)</x:f>
        <x:v>2.5</x:v>
      </x:c>
      <x:c r="O68" t="n">
        <x:f>IFERROR(VLOOKUP(E68,$J$5:$K$18,2,FALSE),0)</x:f>
        <x:v>0.65</x:v>
      </x:c>
      <x:c r="P68" s="180" t="n">
        <x:f>$B$5*F68+$B$6*G68+$B$7*N68*O68*L68</x:f>
        <x:v>7.95</x:v>
      </x:c>
      <x:c r="Q68" s="180" t="n">
        <x:f>$B$5*(F68+3*H68+J68)+$B$6*(G68+3*I68+K68)+$B$7*N68*O68*(L68+M68)</x:f>
        <x:v>12.275</x:v>
      </x:c>
      <x:c r="R68" s="181" t="n">
        <x:f>IFERROR(Q68/(P68*(1+$B$8)^3)-1,0)</x:f>
        <x:v>-0.010808434877977446</x:v>
      </x:c>
      <x:c r="S68" t="str">
        <x:f>IF(R68&gt;$B$9,"Przetrzymaj 3T",IF(R68&lt;-$B$9,"Wystaw teraz","Zbliżona wartość"))</x:f>
        <x:v>Zbliżona wartość</x:v>
      </x:c>
      <x:c r="T68" t="str">
        <x:v>Ocena orientacyjna; potwierdź testami</x:v>
      </x:c>
    </x:row>
    <x:row r="69" ht="21" customHeight="1">
      <x:c r="A69" t="str">
        <x:v>S94</x:v>
      </x:c>
      <x:c r="B69" t="str">
        <x:f>'Katalog kart'!M55</x:f>
        <x:v>Krasnoludy</x:v>
      </x:c>
      <x:c r="C69" t="str">
        <x:f>'Katalog kart'!D55</x:f>
        <x:v>Mistrz Tarczy</x:v>
      </x:c>
      <x:c r="D69" t="str">
        <x:f>'Katalog kart'!B55</x:f>
        <x:v>Na koniec tury</x:v>
      </x:c>
      <x:c r="E69" t="str">
        <x:f>'Katalog kart'!C55</x:f>
        <x:v>Tarcza</x:v>
      </x:c>
      <x:c r="F69" t="n">
        <x:f>'Katalog kart'!E55</x:f>
        <x:v>1</x:v>
      </x:c>
      <x:c r="G69" t="n">
        <x:f>'Katalog kart'!F55</x:f>
        <x:v>8</x:v>
      </x:c>
      <x:c r="H69" t="n">
        <x:f>'Balans — karty'!H53</x:f>
        <x:v>0</x:v>
      </x:c>
      <x:c r="I69" t="n">
        <x:f>'Balans — karty'!I53</x:f>
        <x:v>2</x:v>
      </x:c>
      <x:c r="J69" t="n">
        <x:f>IF(OR(E69="Szybki atak",E69="Podwójny atak"),2,0)</x:f>
        <x:v>0</x:v>
      </x:c>
      <x:c r="K69" t="n">
        <x:f>IF(E69="Szybki atak",1,IF(OR(E69="Tarcza",E69="Prowokacja"),3,0))</x:f>
        <x:v>3</x:v>
      </x:c>
      <x:c r="L69" s="169" t="n">
        <x:v>1</x:v>
      </x:c>
      <x:c r="M69" s="169" t="n">
        <x:v>0</x:v>
      </x:c>
      <x:c r="N69" t="n">
        <x:f>IFERROR(VLOOKUP(D69,$G$5:$H$9,2,FALSE),0)</x:f>
        <x:v>2.5</x:v>
      </x:c>
      <x:c r="O69" t="n">
        <x:f>IFERROR(VLOOKUP(E69,$J$5:$K$18,2,FALSE),0)</x:f>
        <x:v>3</x:v>
      </x:c>
      <x:c r="P69" s="180" t="n">
        <x:f>$B$5*F69+$B$6*G69+$B$7*N69*O69*L69</x:f>
        <x:v>12.1</x:v>
      </x:c>
      <x:c r="Q69" s="180" t="n">
        <x:f>$B$5*(F69+3*H69+J69)+$B$6*(G69+3*I69+K69)+$B$7*N69*O69*(L69+M69)</x:f>
        <x:v>16.15</x:v>
      </x:c>
      <x:c r="R69" s="181" t="n">
        <x:f>IFERROR(Q69/(P69*(1+$B$8)^3)-1,0)</x:f>
        <x:v>-0.1449073200253873</x:v>
      </x:c>
      <x:c r="S69" t="str">
        <x:f>IF(R69&gt;$B$9,"Przetrzymaj 3T",IF(R69&lt;-$B$9,"Wystaw teraz","Zbliżona wartość"))</x:f>
        <x:v>Zbliżona wartość</x:v>
      </x:c>
      <x:c r="T69" t="str">
        <x:v>Ocena orientacyjna; potwierdź testami</x:v>
      </x:c>
    </x:row>
    <x:row r="70" ht="21" customHeight="1">
      <x:c r="A70" t="str">
        <x:v>S32</x:v>
      </x:c>
      <x:c r="B70" t="str">
        <x:f>'Katalog kart'!M56</x:f>
        <x:v>Krasnoludy</x:v>
      </x:c>
      <x:c r="C70" t="str">
        <x:f>'Katalog kart'!D56</x:f>
        <x:v>Alchemik Kopalnianych Trucizn</x:v>
      </x:c>
      <x:c r="D70" t="str">
        <x:f>'Katalog kart'!B56</x:f>
        <x:v>Na koniec tury</x:v>
      </x:c>
      <x:c r="E70" t="str">
        <x:f>'Katalog kart'!C56</x:f>
        <x:v>Trucizna</x:v>
      </x:c>
      <x:c r="F70" t="n">
        <x:f>'Katalog kart'!E56</x:f>
        <x:v>1</x:v>
      </x:c>
      <x:c r="G70" t="n">
        <x:f>'Katalog kart'!F56</x:f>
        <x:v>5</x:v>
      </x:c>
      <x:c r="H70" t="n">
        <x:f>'Balans — karty'!H54</x:f>
        <x:v>2</x:v>
      </x:c>
      <x:c r="I70" t="n">
        <x:f>'Balans — karty'!I54</x:f>
        <x:v>0</x:v>
      </x:c>
      <x:c r="J70" t="n">
        <x:f>IF(OR(E70="Szybki atak",E70="Podwójny atak"),2,0)</x:f>
        <x:v>0</x:v>
      </x:c>
      <x:c r="K70" t="n">
        <x:f>IF(E70="Szybki atak",1,IF(OR(E70="Tarcza",E70="Prowokacja"),3,0))</x:f>
        <x:v>0</x:v>
      </x:c>
      <x:c r="L70" s="169" t="n">
        <x:v>1</x:v>
      </x:c>
      <x:c r="M70" s="169" t="n">
        <x:v>1</x:v>
      </x:c>
      <x:c r="N70" t="n">
        <x:f>IFERROR(VLOOKUP(D70,$G$5:$H$9,2,FALSE),0)</x:f>
        <x:v>2.5</x:v>
      </x:c>
      <x:c r="O70" t="n">
        <x:f>IFERROR(VLOOKUP(E70,$J$5:$K$18,2,FALSE),0)</x:f>
        <x:v>1.5</x:v>
      </x:c>
      <x:c r="P70" s="180" t="n">
        <x:f>$B$5*F70+$B$6*G70+$B$7*N70*O70*L70</x:f>
        <x:v>7</x:v>
      </x:c>
      <x:c r="Q70" s="180" t="n">
        <x:f>$B$5*(F70+3*H70+J70)+$B$6*(G70+3*I70+K70)+$B$7*N70*O70*(L70+M70)</x:f>
        <x:v>16.75</x:v>
      </x:c>
      <x:c r="R70" s="181" t="n">
        <x:f>IFERROR(Q70/(P70*(1+$B$8)^3)-1,0)</x:f>
        <x:v>0.5330022902596605</x:v>
      </x:c>
      <x:c r="S70" t="str">
        <x:f>IF(R70&gt;$B$9,"Przetrzymaj 3T",IF(R70&lt;-$B$9,"Wystaw teraz","Zbliżona wartość"))</x:f>
        <x:v>Przetrzymaj 3T</x:v>
      </x:c>
      <x:c r="T70" t="str">
        <x:v>Ocena orientacyjna; potwierdź testami</x:v>
      </x:c>
    </x:row>
    <x:row r="71" ht="21" customHeight="1">
      <x:c r="A71" t="str">
        <x:v>S95</x:v>
      </x:c>
      <x:c r="B71" t="str">
        <x:f>'Katalog kart'!M57</x:f>
        <x:v>Krasnoludy</x:v>
      </x:c>
      <x:c r="C71" t="str">
        <x:f>'Katalog kart'!D57</x:f>
        <x:v>Młotnik Wstrząsów</x:v>
      </x:c>
      <x:c r="D71" t="str">
        <x:f>'Katalog kart'!B57</x:f>
        <x:v>Na koniec tury</x:v>
      </x:c>
      <x:c r="E71" t="str">
        <x:f>'Katalog kart'!C57</x:f>
        <x:v>Ogłuszenie</x:v>
      </x:c>
      <x:c r="F71" t="n">
        <x:f>'Katalog kart'!E57</x:f>
        <x:v>1</x:v>
      </x:c>
      <x:c r="G71" t="n">
        <x:f>'Katalog kart'!F57</x:f>
        <x:v>6</x:v>
      </x:c>
      <x:c r="H71" t="n">
        <x:f>'Balans — karty'!H55</x:f>
        <x:v>1</x:v>
      </x:c>
      <x:c r="I71" t="n">
        <x:f>'Balans — karty'!I55</x:f>
        <x:v>1</x:v>
      </x:c>
      <x:c r="J71" t="n">
        <x:f>IF(OR(E71="Szybki atak",E71="Podwójny atak"),2,0)</x:f>
        <x:v>0</x:v>
      </x:c>
      <x:c r="K71" t="n">
        <x:f>IF(E71="Szybki atak",1,IF(OR(E71="Tarcza",E71="Prowokacja"),3,0))</x:f>
        <x:v>0</x:v>
      </x:c>
      <x:c r="L71" s="169" t="n">
        <x:v>1</x:v>
      </x:c>
      <x:c r="M71" s="169" t="n">
        <x:v>1</x:v>
      </x:c>
      <x:c r="N71" t="n">
        <x:f>IFERROR(VLOOKUP(D71,$G$5:$H$9,2,FALSE),0)</x:f>
        <x:v>2.5</x:v>
      </x:c>
      <x:c r="O71" t="n">
        <x:f>IFERROR(VLOOKUP(E71,$J$5:$K$18,2,FALSE),0)</x:f>
        <x:v>2.5</x:v>
      </x:c>
      <x:c r="P71" s="180" t="n">
        <x:f>$B$5*F71+$B$6*G71+$B$7*N71*O71*L71</x:f>
        <x:v>9.95</x:v>
      </x:c>
      <x:c r="Q71" s="180" t="n">
        <x:f>$B$5*(F71+3*H71+J71)+$B$6*(G71+3*I71+K71)+$B$7*N71*O71*(L71+M71)</x:f>
        <x:v>20.55</x:v>
      </x:c>
      <x:c r="R71" s="181" t="n">
        <x:f>IFERROR(Q71/(P71*(1+$B$8)^3)-1,0)</x:f>
        <x:v>0.32316735590701073</x:v>
      </x:c>
      <x:c r="S71" t="str">
        <x:f>IF(R71&gt;$B$9,"Przetrzymaj 3T",IF(R71&lt;-$B$9,"Wystaw teraz","Zbliżona wartość"))</x:f>
        <x:v>Przetrzymaj 3T</x:v>
      </x:c>
      <x:c r="T71" t="str">
        <x:v>Ocena orientacyjna; potwierdź testami</x:v>
      </x:c>
    </x:row>
    <x:row r="72" ht="21" customHeight="1">
      <x:c r="A72" t="str">
        <x:v>S31</x:v>
      </x:c>
      <x:c r="B72" t="str">
        <x:f>'Katalog kart'!M58</x:f>
        <x:v>Krasnoludy</x:v>
      </x:c>
      <x:c r="C72" t="str">
        <x:f>'Katalog kart'!D58</x:f>
        <x:v>Znachor Klanowy</x:v>
      </x:c>
      <x:c r="D72" t="str">
        <x:f>'Katalog kart'!B58</x:f>
        <x:v>Na koniec tury</x:v>
      </x:c>
      <x:c r="E72" t="str">
        <x:f>'Katalog kart'!C58</x:f>
        <x:v>Regeneracja</x:v>
      </x:c>
      <x:c r="F72" t="n">
        <x:f>'Katalog kart'!E58</x:f>
        <x:v>2</x:v>
      </x:c>
      <x:c r="G72" t="n">
        <x:f>'Katalog kart'!F58</x:f>
        <x:v>6</x:v>
      </x:c>
      <x:c r="H72" t="n">
        <x:f>'Balans — karty'!H56</x:f>
        <x:v>0</x:v>
      </x:c>
      <x:c r="I72" t="n">
        <x:f>'Balans — karty'!I56</x:f>
        <x:v>2</x:v>
      </x:c>
      <x:c r="J72" t="n">
        <x:f>IF(OR(E72="Szybki atak",E72="Podwójny atak"),2,0)</x:f>
        <x:v>0</x:v>
      </x:c>
      <x:c r="K72" t="n">
        <x:f>IF(E72="Szybki atak",1,IF(OR(E72="Tarcza",E72="Prowokacja"),3,0))</x:f>
        <x:v>0</x:v>
      </x:c>
      <x:c r="L72" s="169" t="n">
        <x:v>1</x:v>
      </x:c>
      <x:c r="M72" s="169" t="n">
        <x:v>1</x:v>
      </x:c>
      <x:c r="N72" t="n">
        <x:f>IFERROR(VLOOKUP(D72,$G$5:$H$9,2,FALSE),0)</x:f>
        <x:v>2.5</x:v>
      </x:c>
      <x:c r="O72" t="n">
        <x:f>IFERROR(VLOOKUP(E72,$J$5:$K$18,2,FALSE),0)</x:f>
        <x:v>0.85</x:v>
      </x:c>
      <x:c r="P72" s="180" t="n">
        <x:f>$B$5*F72+$B$6*G72+$B$7*N72*O72*L72</x:f>
        <x:v>6.825</x:v>
      </x:c>
      <x:c r="Q72" s="180" t="n">
        <x:f>$B$5*(F72+3*H72+J72)+$B$6*(G72+3*I72+K72)+$B$7*N72*O72*(L72+M72)</x:f>
        <x:v>11.65</x:v>
      </x:c>
      <x:c r="R72" s="181" t="n">
        <x:f>IFERROR(Q72/(P72*(1+$B$8)^3)-1,0)</x:f>
        <x:v>0.09357683468963174</x:v>
      </x:c>
      <x:c r="S72" t="str">
        <x:f>IF(R72&gt;$B$9,"Przetrzymaj 3T",IF(R72&lt;-$B$9,"Wystaw teraz","Zbliżona wartość"))</x:f>
        <x:v>Zbliżona wartość</x:v>
      </x:c>
      <x:c r="T72" t="str">
        <x:v>Ocena orientacyjna; potwierdź testami</x:v>
      </x:c>
    </x:row>
    <x:row r="73" ht="21" customHeight="1">
      <x:c r="A73" t="str">
        <x:v>S96</x:v>
      </x:c>
      <x:c r="B73" t="str">
        <x:f>'Katalog kart'!M59</x:f>
        <x:v>Krasnoludy</x:v>
      </x:c>
      <x:c r="C73" t="str">
        <x:f>'Katalog kart'!D59</x:f>
        <x:v>Wartownik Szybu</x:v>
      </x:c>
      <x:c r="D73" t="str">
        <x:f>'Katalog kart'!B59</x:f>
        <x:v>Na koniec tury</x:v>
      </x:c>
      <x:c r="E73" t="str">
        <x:f>'Katalog kart'!C59</x:f>
        <x:v>Prowokacja</x:v>
      </x:c>
      <x:c r="F73" t="n">
        <x:f>'Katalog kart'!E59</x:f>
        <x:v>2</x:v>
      </x:c>
      <x:c r="G73" t="n">
        <x:f>'Katalog kart'!F59</x:f>
        <x:v>8</x:v>
      </x:c>
      <x:c r="H73" t="n">
        <x:f>'Balans — karty'!H57</x:f>
        <x:v>0</x:v>
      </x:c>
      <x:c r="I73" t="n">
        <x:f>'Balans — karty'!I57</x:f>
        <x:v>2</x:v>
      </x:c>
      <x:c r="J73" t="n">
        <x:f>IF(OR(E73="Szybki atak",E73="Podwójny atak"),2,0)</x:f>
        <x:v>0</x:v>
      </x:c>
      <x:c r="K73" t="n">
        <x:f>IF(E73="Szybki atak",1,IF(OR(E73="Tarcza",E73="Prowokacja"),3,0))</x:f>
        <x:v>3</x:v>
      </x:c>
      <x:c r="L73" s="169" t="n">
        <x:v>1</x:v>
      </x:c>
      <x:c r="M73" s="169" t="n">
        <x:v>0</x:v>
      </x:c>
      <x:c r="N73" t="n">
        <x:f>IFERROR(VLOOKUP(D73,$G$5:$H$9,2,FALSE),0)</x:f>
        <x:v>2.5</x:v>
      </x:c>
      <x:c r="O73" t="n">
        <x:f>IFERROR(VLOOKUP(E73,$J$5:$K$18,2,FALSE),0)</x:f>
        <x:v>2.4</x:v>
      </x:c>
      <x:c r="P73" s="180" t="n">
        <x:f>$B$5*F73+$B$6*G73+$B$7*N73*O73*L73</x:f>
        <x:v>11.6</x:v>
      </x:c>
      <x:c r="Q73" s="180" t="n">
        <x:f>$B$5*(F73+3*H73+J73)+$B$6*(G73+3*I73+K73)+$B$7*N73*O73*(L73+M73)</x:f>
        <x:v>15.65</x:v>
      </x:c>
      <x:c r="R73" s="181" t="n">
        <x:f>IFERROR(Q73/(P73*(1+$B$8)^3)-1,0)</x:f>
        <x:v>-0.135664431817057</x:v>
      </x:c>
      <x:c r="S73" t="str">
        <x:f>IF(R73&gt;$B$9,"Przetrzymaj 3T",IF(R73&lt;-$B$9,"Wystaw teraz","Zbliżona wartość"))</x:f>
        <x:v>Zbliżona wartość</x:v>
      </x:c>
      <x:c r="T73" t="str">
        <x:v>Ocena orientacyjna; potwierdź testami</x:v>
      </x:c>
    </x:row>
    <x:row r="74" ht="21" customHeight="1">
      <x:c r="A74" t="str">
        <x:v>S97</x:v>
      </x:c>
      <x:c r="B74" t="str">
        <x:f>'Katalog kart'!M60</x:f>
        <x:v>Krasnoludy</x:v>
      </x:c>
      <x:c r="C74" t="str">
        <x:f>'Katalog kart'!D60</x:f>
        <x:v>Czyściciel Run</x:v>
      </x:c>
      <x:c r="D74" t="str">
        <x:f>'Katalog kart'!B60</x:f>
        <x:v>Na koniec tury</x:v>
      </x:c>
      <x:c r="E74" t="str">
        <x:f>'Katalog kart'!C60</x:f>
        <x:v>Oczyszczanie</x:v>
      </x:c>
      <x:c r="F74" t="n">
        <x:f>'Katalog kart'!E60</x:f>
        <x:v>1</x:v>
      </x:c>
      <x:c r="G74" t="n">
        <x:f>'Katalog kart'!F60</x:f>
        <x:v>6</x:v>
      </x:c>
      <x:c r="H74" t="n">
        <x:f>'Balans — karty'!H58</x:f>
        <x:v>1</x:v>
      </x:c>
      <x:c r="I74" t="n">
        <x:f>'Balans — karty'!I58</x:f>
        <x:v>1</x:v>
      </x:c>
      <x:c r="J74" t="n">
        <x:f>IF(OR(E74="Szybki atak",E74="Podwójny atak"),2,0)</x:f>
        <x:v>0</x:v>
      </x:c>
      <x:c r="K74" t="n">
        <x:f>IF(E74="Szybki atak",1,IF(OR(E74="Tarcza",E74="Prowokacja"),3,0))</x:f>
        <x:v>0</x:v>
      </x:c>
      <x:c r="L74" s="169" t="n">
        <x:v>1</x:v>
      </x:c>
      <x:c r="M74" s="169" t="n">
        <x:v>1</x:v>
      </x:c>
      <x:c r="N74" t="n">
        <x:f>IFERROR(VLOOKUP(D74,$G$5:$H$9,2,FALSE),0)</x:f>
        <x:v>2.5</x:v>
      </x:c>
      <x:c r="O74" t="n">
        <x:f>IFERROR(VLOOKUP(E74,$J$5:$K$18,2,FALSE),0)</x:f>
        <x:v>1.7</x:v>
      </x:c>
      <x:c r="P74" s="180" t="n">
        <x:f>$B$5*F74+$B$6*G74+$B$7*N74*O74*L74</x:f>
        <x:v>7.95</x:v>
      </x:c>
      <x:c r="Q74" s="180" t="n">
        <x:f>$B$5*(F74+3*H74+J74)+$B$6*(G74+3*I74+K74)+$B$7*N74*O74*(L74+M74)</x:f>
        <x:v>16.55</x:v>
      </x:c>
      <x:c r="R74" s="181" t="n">
        <x:f>IFERROR(Q74/(P74*(1+$B$8)^3)-1,0)</x:f>
        <x:v>0.3336961631584092</x:v>
      </x:c>
      <x:c r="S74" t="str">
        <x:f>IF(R74&gt;$B$9,"Przetrzymaj 3T",IF(R74&lt;-$B$9,"Wystaw teraz","Zbliżona wartość"))</x:f>
        <x:v>Przetrzymaj 3T</x:v>
      </x:c>
      <x:c r="T74" t="str">
        <x:v>Ocena orientacyjna; potwierdź testami</x:v>
      </x:c>
    </x:row>
    <x:row r="75" ht="21" customHeight="1">
      <x:c r="A75" t="str">
        <x:v>S99</x:v>
      </x:c>
      <x:c r="B75" t="str">
        <x:f>'Katalog kart'!M61</x:f>
        <x:v>Krasnoludy</x:v>
      </x:c>
      <x:c r="C75" t="str">
        <x:f>'Katalog kart'!D61</x:f>
        <x:v>Górski Odtruwacz</x:v>
      </x:c>
      <x:c r="D75" t="str">
        <x:f>'Katalog kart'!B61</x:f>
        <x:v>Na koniec tury</x:v>
      </x:c>
      <x:c r="E75" t="str">
        <x:f>'Katalog kart'!C61</x:f>
        <x:v>Odporność</x:v>
      </x:c>
      <x:c r="F75" t="n">
        <x:f>'Katalog kart'!E61</x:f>
        <x:v>3</x:v>
      </x:c>
      <x:c r="G75" t="n">
        <x:f>'Katalog kart'!F61</x:f>
        <x:v>7</x:v>
      </x:c>
      <x:c r="H75" t="n">
        <x:f>'Balans — karty'!H59</x:f>
        <x:v>0</x:v>
      </x:c>
      <x:c r="I75" t="n">
        <x:f>'Balans — karty'!I59</x:f>
        <x:v>2</x:v>
      </x:c>
      <x:c r="J75" t="n">
        <x:f>IF(OR(E75="Szybki atak",E75="Podwójny atak"),2,0)</x:f>
        <x:v>0</x:v>
      </x:c>
      <x:c r="K75" t="n">
        <x:f>IF(E75="Szybki atak",1,IF(OR(E75="Tarcza",E75="Prowokacja"),3,0))</x:f>
        <x:v>0</x:v>
      </x:c>
      <x:c r="L75" s="169" t="n">
        <x:v>1</x:v>
      </x:c>
      <x:c r="M75" s="169" t="n">
        <x:v>1</x:v>
      </x:c>
      <x:c r="N75" t="n">
        <x:f>IFERROR(VLOOKUP(D75,$G$5:$H$9,2,FALSE),0)</x:f>
        <x:v>2.5</x:v>
      </x:c>
      <x:c r="O75" t="n">
        <x:f>IFERROR(VLOOKUP(E75,$J$5:$K$18,2,FALSE),0)</x:f>
        <x:v>1.4</x:v>
      </x:c>
      <x:c r="P75" s="180" t="n">
        <x:f>$B$5*F75+$B$6*G75+$B$7*N75*O75*L75</x:f>
        <x:v>9.65</x:v>
      </x:c>
      <x:c r="Q75" s="180" t="n">
        <x:f>$B$5*(F75+3*H75+J75)+$B$6*(G75+3*I75+K75)+$B$7*N75*O75*(L75+M75)</x:f>
        <x:v>15.850000000000001</x:v>
      </x:c>
      <x:c r="R75" s="181" t="n">
        <x:f>IFERROR(Q75/(P75*(1+$B$8)^3)-1,0)</x:f>
        <x:v>0.05227193011714082</x:v>
      </x:c>
      <x:c r="S75" t="str">
        <x:f>IF(R75&gt;$B$9,"Przetrzymaj 3T",IF(R75&lt;-$B$9,"Wystaw teraz","Zbliżona wartość"))</x:f>
        <x:v>Zbliżona wartość</x:v>
      </x:c>
      <x:c r="T75" t="str">
        <x:v>Ocena orientacyjna; potwierdź testami</x:v>
      </x:c>
    </x:row>
    <x:row r="76" ht="21" customHeight="1">
      <x:c r="A76" t="str">
        <x:v>S101</x:v>
      </x:c>
      <x:c r="B76" t="str">
        <x:f>'Katalog kart'!M62</x:f>
        <x:v>Krasnoludy</x:v>
      </x:c>
      <x:c r="C76" t="str">
        <x:f>'Katalog kart'!D62</x:f>
        <x:v>Konstruktor Sprężyn</x:v>
      </x:c>
      <x:c r="D76" t="str">
        <x:f>'Katalog kart'!B62</x:f>
        <x:v>Na koniec tury</x:v>
      </x:c>
      <x:c r="E76" t="str">
        <x:f>'Katalog kart'!C62</x:f>
        <x:v>Szybki atak</x:v>
      </x:c>
      <x:c r="F76" t="n">
        <x:f>'Katalog kart'!E62</x:f>
        <x:v>2</x:v>
      </x:c>
      <x:c r="G76" t="n">
        <x:f>'Katalog kart'!F62</x:f>
        <x:v>4</x:v>
      </x:c>
      <x:c r="H76" t="n">
        <x:f>'Balans — karty'!H60</x:f>
        <x:v>2</x:v>
      </x:c>
      <x:c r="I76" t="n">
        <x:f>'Balans — karty'!I60</x:f>
        <x:v>0</x:v>
      </x:c>
      <x:c r="J76" t="n">
        <x:f>IF(OR(E76="Szybki atak",E76="Podwójny atak"),2,0)</x:f>
        <x:v>2</x:v>
      </x:c>
      <x:c r="K76" t="n">
        <x:f>IF(E76="Szybki atak",1,IF(OR(E76="Tarcza",E76="Prowokacja"),3,0))</x:f>
        <x:v>1</x:v>
      </x:c>
      <x:c r="L76" s="169" t="n">
        <x:v>1</x:v>
      </x:c>
      <x:c r="M76" s="169" t="n">
        <x:v>0</x:v>
      </x:c>
      <x:c r="N76" t="n">
        <x:f>IFERROR(VLOOKUP(D76,$G$5:$H$9,2,FALSE),0)</x:f>
        <x:v>2.5</x:v>
      </x:c>
      <x:c r="O76" t="n">
        <x:f>IFERROR(VLOOKUP(E76,$J$5:$K$18,2,FALSE),0)</x:f>
        <x:v>2.6</x:v>
      </x:c>
      <x:c r="P76" s="180" t="n">
        <x:f>$B$5*F76+$B$6*G76+$B$7*N76*O76*L76</x:f>
        <x:v>10.3</x:v>
      </x:c>
      <x:c r="Q76" s="180" t="n">
        <x:f>$B$5*(F76+3*H76+J76)+$B$6*(G76+3*I76+K76)+$B$7*N76*O76*(L76+M76)</x:f>
        <x:v>18.75</x:v>
      </x:c>
      <x:c r="R76" s="181" t="n">
        <x:f>IFERROR(Q76/(P76*(1+$B$8)^3)-1,0)</x:f>
        <x:v>0.166245764941779</x:v>
      </x:c>
      <x:c r="S76" t="str">
        <x:f>IF(R76&gt;$B$9,"Przetrzymaj 3T",IF(R76&lt;-$B$9,"Wystaw teraz","Zbliżona wartość"))</x:f>
        <x:v>Przetrzymaj 3T</x:v>
      </x:c>
      <x:c r="T76" t="str">
        <x:v>Ocena orientacyjna; potwierdź testami</x:v>
      </x:c>
    </x:row>
    <x:row r="77" ht="21" customHeight="1">
      <x:c r="A77" t="str">
        <x:v>S102</x:v>
      </x:c>
      <x:c r="B77" t="str">
        <x:f>'Katalog kart'!M63</x:f>
        <x:v>Krasnoludy</x:v>
      </x:c>
      <x:c r="C77" t="str">
        <x:f>'Katalog kart'!D63</x:f>
        <x:v>Mechanik Dwóch Ostrzy</x:v>
      </x:c>
      <x:c r="D77" t="str">
        <x:f>'Katalog kart'!B63</x:f>
        <x:v>Na koniec tury</x:v>
      </x:c>
      <x:c r="E77" t="str">
        <x:f>'Katalog kart'!C63</x:f>
        <x:v>Podwójny atak</x:v>
      </x:c>
      <x:c r="F77" t="n">
        <x:f>'Katalog kart'!E63</x:f>
        <x:v>1</x:v>
      </x:c>
      <x:c r="G77" t="n">
        <x:f>'Katalog kart'!F63</x:f>
        <x:v>5</x:v>
      </x:c>
      <x:c r="H77" t="n">
        <x:f>'Balans — karty'!H61</x:f>
        <x:v>2</x:v>
      </x:c>
      <x:c r="I77" t="n">
        <x:f>'Balans — karty'!I61</x:f>
        <x:v>0</x:v>
      </x:c>
      <x:c r="J77" t="n">
        <x:f>IF(OR(E77="Szybki atak",E77="Podwójny atak"),2,0)</x:f>
        <x:v>2</x:v>
      </x:c>
      <x:c r="K77" t="n">
        <x:f>IF(E77="Szybki atak",1,IF(OR(E77="Tarcza",E77="Prowokacja"),3,0))</x:f>
        <x:v>0</x:v>
      </x:c>
      <x:c r="L77" s="169" t="n">
        <x:v>1</x:v>
      </x:c>
      <x:c r="M77" s="169" t="n">
        <x:v>0</x:v>
      </x:c>
      <x:c r="N77" t="n">
        <x:f>IFERROR(VLOOKUP(D77,$G$5:$H$9,2,FALSE),0)</x:f>
        <x:v>2.5</x:v>
      </x:c>
      <x:c r="O77" t="n">
        <x:f>IFERROR(VLOOKUP(E77,$J$5:$K$18,2,FALSE),0)</x:f>
        <x:v>3.2</x:v>
      </x:c>
      <x:c r="P77" s="180" t="n">
        <x:f>$B$5*F77+$B$6*G77+$B$7*N77*O77*L77</x:f>
        <x:v>11.25</x:v>
      </x:c>
      <x:c r="Q77" s="180" t="n">
        <x:f>$B$5*(F77+3*H77+J77)+$B$6*(G77+3*I77+K77)+$B$7*N77*O77*(L77+M77)</x:f>
        <x:v>19.25</x:v>
      </x:c>
      <x:c r="R77" s="181" t="n">
        <x:f>IFERROR(Q77/(P77*(1+$B$8)^3)-1,0)</x:f>
        <x:v>0.0962364636152</x:v>
      </x:c>
      <x:c r="S77" t="str">
        <x:f>IF(R77&gt;$B$9,"Przetrzymaj 3T",IF(R77&lt;-$B$9,"Wystaw teraz","Zbliżona wartość"))</x:f>
        <x:v>Zbliżona wartość</x:v>
      </x:c>
      <x:c r="T77" t="str">
        <x:v>Ocena orientacyjna; potwierdź testami</x:v>
      </x:c>
    </x:row>
    <x:row r="78" ht="21" customHeight="1">
      <x:c r="A78" t="str">
        <x:v>S103</x:v>
      </x:c>
      <x:c r="B78" t="str">
        <x:f>'Katalog kart'!M64</x:f>
        <x:v>Ludzie</x:v>
      </x:c>
      <x:c r="C78" t="str">
        <x:f>'Katalog kart'!D64</x:f>
        <x:v>Weteran Odwetu</x:v>
      </x:c>
      <x:c r="D78" t="str">
        <x:f>'Katalog kart'!B64</x:f>
        <x:v>Pasywna</x:v>
      </x:c>
      <x:c r="E78" t="str">
        <x:f>'Katalog kart'!C64</x:f>
        <x:v>Obrażenia</x:v>
      </x:c>
      <x:c r="F78" t="n">
        <x:f>'Katalog kart'!E64</x:f>
        <x:v>4</x:v>
      </x:c>
      <x:c r="G78" t="n">
        <x:f>'Katalog kart'!F64</x:f>
        <x:v>5</x:v>
      </x:c>
      <x:c r="H78" t="n">
        <x:f>'Balans — karty'!H62</x:f>
        <x:v>0</x:v>
      </x:c>
      <x:c r="I78" t="n">
        <x:f>'Balans — karty'!I62</x:f>
        <x:v>2</x:v>
      </x:c>
      <x:c r="J78" t="n">
        <x:f>IF(OR(E78="Szybki atak",E78="Podwójny atak"),2,0)</x:f>
        <x:v>0</x:v>
      </x:c>
      <x:c r="K78" t="n">
        <x:f>IF(E78="Szybki atak",1,IF(OR(E78="Tarcza",E78="Prowokacja"),3,0))</x:f>
        <x:v>0</x:v>
      </x:c>
      <x:c r="L78" s="169" t="n">
        <x:v>1</x:v>
      </x:c>
      <x:c r="M78" s="169" t="n">
        <x:v>1</x:v>
      </x:c>
      <x:c r="N78" t="n">
        <x:f>IFERROR(VLOOKUP(D78,$G$5:$H$9,2,FALSE),0)</x:f>
        <x:v>1.5</x:v>
      </x:c>
      <x:c r="O78" t="n">
        <x:f>IFERROR(VLOOKUP(E78,$J$5:$K$18,2,FALSE),0)</x:f>
        <x:v>1</x:v>
      </x:c>
      <x:c r="P78" s="180" t="n">
        <x:f>$B$5*F78+$B$6*G78+$B$7*N78*O78*L78</x:f>
        <x:v>7.75</x:v>
      </x:c>
      <x:c r="Q78" s="180" t="n">
        <x:f>$B$5*(F78+3*H78+J78)+$B$6*(G78+3*I78+K78)+$B$7*N78*O78*(L78+M78)</x:f>
        <x:v>11.95</x:v>
      </x:c>
      <x:c r="R78" s="181" t="n">
        <x:f>IFERROR(Q78/(P78*(1+$B$8)^3)-1,0)</x:f>
        <x:v>-0.012147200152369031</x:v>
      </x:c>
      <x:c r="S78" t="str">
        <x:f>IF(R78&gt;$B$9,"Przetrzymaj 3T",IF(R78&lt;-$B$9,"Wystaw teraz","Zbliżona wartość"))</x:f>
        <x:v>Zbliżona wartość</x:v>
      </x:c>
      <x:c r="T78" t="str">
        <x:v>Ocena orientacyjna; potwierdź testami</x:v>
      </x:c>
    </x:row>
    <x:row r="79" ht="21" customHeight="1">
      <x:c r="A79" t="str">
        <x:v>S104</x:v>
      </x:c>
      <x:c r="B79" t="str">
        <x:f>'Katalog kart'!M65</x:f>
        <x:v>Ludzie</x:v>
      </x:c>
      <x:c r="C79" t="str">
        <x:f>'Katalog kart'!D65</x:f>
        <x:v>Kapelan Garnizonu</x:v>
      </x:c>
      <x:c r="D79" t="str">
        <x:f>'Katalog kart'!B65</x:f>
        <x:v>Pasywna</x:v>
      </x:c>
      <x:c r="E79" t="str">
        <x:f>'Katalog kart'!C65</x:f>
        <x:v>Leczenie</x:v>
      </x:c>
      <x:c r="F79" t="n">
        <x:f>'Katalog kart'!E65</x:f>
        <x:v>4</x:v>
      </x:c>
      <x:c r="G79" t="n">
        <x:f>'Katalog kart'!F65</x:f>
        <x:v>5</x:v>
      </x:c>
      <x:c r="H79" t="n">
        <x:f>'Balans — karty'!H63</x:f>
        <x:v>0</x:v>
      </x:c>
      <x:c r="I79" t="n">
        <x:f>'Balans — karty'!I63</x:f>
        <x:v>2</x:v>
      </x:c>
      <x:c r="J79" t="n">
        <x:f>IF(OR(E79="Szybki atak",E79="Podwójny atak"),2,0)</x:f>
        <x:v>0</x:v>
      </x:c>
      <x:c r="K79" t="n">
        <x:f>IF(E79="Szybki atak",1,IF(OR(E79="Tarcza",E79="Prowokacja"),3,0))</x:f>
        <x:v>0</x:v>
      </x:c>
      <x:c r="L79" s="169" t="n">
        <x:v>1</x:v>
      </x:c>
      <x:c r="M79" s="169" t="n">
        <x:v>1</x:v>
      </x:c>
      <x:c r="N79" t="n">
        <x:f>IFERROR(VLOOKUP(D79,$G$5:$H$9,2,FALSE),0)</x:f>
        <x:v>1.5</x:v>
      </x:c>
      <x:c r="O79" t="n">
        <x:f>IFERROR(VLOOKUP(E79,$J$5:$K$18,2,FALSE),0)</x:f>
        <x:v>0.75</x:v>
      </x:c>
      <x:c r="P79" s="180" t="n">
        <x:f>$B$5*F79+$B$6*G79+$B$7*N79*O79*L79</x:f>
        <x:v>7.375</x:v>
      </x:c>
      <x:c r="Q79" s="180" t="n">
        <x:f>$B$5*(F79+3*H79+J79)+$B$6*(G79+3*I79+K79)+$B$7*N79*O79*(L79+M79)</x:f>
        <x:v>11.2</x:v>
      </x:c>
      <x:c r="R79" s="181" t="n">
        <x:f>IFERROR(Q79/(P79*(1+$B$8)^3)-1,0)</x:f>
        <x:v>-0.027069024588050605</x:v>
      </x:c>
      <x:c r="S79" t="str">
        <x:f>IF(R79&gt;$B$9,"Przetrzymaj 3T",IF(R79&lt;-$B$9,"Wystaw teraz","Zbliżona wartość"))</x:f>
        <x:v>Zbliżona wartość</x:v>
      </x:c>
      <x:c r="T79" t="str">
        <x:v>Ocena orientacyjna; potwierdź testami</x:v>
      </x:c>
    </x:row>
    <x:row r="80" ht="21" customHeight="1">
      <x:c r="A80" t="str">
        <x:v>S34</x:v>
      </x:c>
      <x:c r="B80" t="str">
        <x:f>'Katalog kart'!M66</x:f>
        <x:v>Ludzie</x:v>
      </x:c>
      <x:c r="C80" t="str">
        <x:f>'Katalog kart'!D66</x:f>
        <x:v>Chorąży Królewskiej Kompanii</x:v>
      </x:c>
      <x:c r="D80" t="str">
        <x:f>'Katalog kart'!B66</x:f>
        <x:v>Pasywna</x:v>
      </x:c>
      <x:c r="E80" t="str">
        <x:f>'Katalog kart'!C66</x:f>
        <x:v>ATK ±</x:v>
      </x:c>
      <x:c r="F80" t="n">
        <x:f>'Katalog kart'!E66</x:f>
        <x:v>1</x:v>
      </x:c>
      <x:c r="G80" t="n">
        <x:f>'Katalog kart'!F66</x:f>
        <x:v>6</x:v>
      </x:c>
      <x:c r="H80" t="n">
        <x:f>'Balans — karty'!H64</x:f>
        <x:v>2</x:v>
      </x:c>
      <x:c r="I80" t="n">
        <x:f>'Balans — karty'!I64</x:f>
        <x:v>0</x:v>
      </x:c>
      <x:c r="J80" t="n">
        <x:f>IF(OR(E80="Szybki atak",E80="Podwójny atak"),2,0)</x:f>
        <x:v>0</x:v>
      </x:c>
      <x:c r="K80" t="n">
        <x:f>IF(E80="Szybki atak",1,IF(OR(E80="Tarcza",E80="Prowokacja"),3,0))</x:f>
        <x:v>0</x:v>
      </x:c>
      <x:c r="L80" s="169" t="n">
        <x:v>1</x:v>
      </x:c>
      <x:c r="M80" s="169" t="n">
        <x:v>1</x:v>
      </x:c>
      <x:c r="N80" t="n">
        <x:f>IFERROR(VLOOKUP(D80,$G$5:$H$9,2,FALSE),0)</x:f>
        <x:v>1.5</x:v>
      </x:c>
      <x:c r="O80" t="n">
        <x:f>IFERROR(VLOOKUP(E80,$J$5:$K$18,2,FALSE),0)</x:f>
        <x:v>0.95</x:v>
      </x:c>
      <x:c r="P80" s="180" t="n">
        <x:f>$B$5*F80+$B$6*G80+$B$7*N80*O80*L80</x:f>
        <x:v>5.125</x:v>
      </x:c>
      <x:c r="Q80" s="180" t="n">
        <x:f>$B$5*(F80+3*H80+J80)+$B$6*(G80+3*I80+K80)+$B$7*N80*O80*(L80+M80)</x:f>
        <x:v>12.549999999999999</x:v>
      </x:c>
      <x:c r="R80" s="181" t="n">
        <x:f>IFERROR(Q80/(P80*(1+$B$8)^3)-1,0)</x:f>
        <x:v>0.5688300103305268</x:v>
      </x:c>
      <x:c r="S80" t="str">
        <x:f>IF(R80&gt;$B$9,"Przetrzymaj 3T",IF(R80&lt;-$B$9,"Wystaw teraz","Zbliżona wartość"))</x:f>
        <x:v>Przetrzymaj 3T</x:v>
      </x:c>
      <x:c r="T80" t="str">
        <x:v>Ocena orientacyjna; potwierdź testami</x:v>
      </x:c>
    </x:row>
    <x:row r="81" ht="21" customHeight="1">
      <x:c r="A81" t="str">
        <x:v>S35</x:v>
      </x:c>
      <x:c r="B81" t="str">
        <x:f>'Katalog kart'!M67</x:f>
        <x:v>Ludzie</x:v>
      </x:c>
      <x:c r="C81" t="str">
        <x:f>'Katalog kart'!D67</x:f>
        <x:v>Komendant Straży</x:v>
      </x:c>
      <x:c r="D81" t="str">
        <x:f>'Katalog kart'!B67</x:f>
        <x:v>Pasywna</x:v>
      </x:c>
      <x:c r="E81" t="str">
        <x:f>'Katalog kart'!C67</x:f>
        <x:v>MAX HP ±</x:v>
      </x:c>
      <x:c r="F81" t="n">
        <x:f>'Katalog kart'!E67</x:f>
        <x:v>3</x:v>
      </x:c>
      <x:c r="G81" t="n">
        <x:f>'Katalog kart'!F67</x:f>
        <x:v>7</x:v>
      </x:c>
      <x:c r="H81" t="n">
        <x:f>'Balans — karty'!H65</x:f>
        <x:v>0</x:v>
      </x:c>
      <x:c r="I81" t="n">
        <x:f>'Balans — karty'!I65</x:f>
        <x:v>2</x:v>
      </x:c>
      <x:c r="J81" t="n">
        <x:f>IF(OR(E81="Szybki atak",E81="Podwójny atak"),2,0)</x:f>
        <x:v>0</x:v>
      </x:c>
      <x:c r="K81" t="n">
        <x:f>IF(E81="Szybki atak",1,IF(OR(E81="Tarcza",E81="Prowokacja"),3,0))</x:f>
        <x:v>0</x:v>
      </x:c>
      <x:c r="L81" s="169" t="n">
        <x:v>1</x:v>
      </x:c>
      <x:c r="M81" s="169" t="n">
        <x:v>1</x:v>
      </x:c>
      <x:c r="N81" t="n">
        <x:f>IFERROR(VLOOKUP(D81,$G$5:$H$9,2,FALSE),0)</x:f>
        <x:v>1.5</x:v>
      </x:c>
      <x:c r="O81" t="n">
        <x:f>IFERROR(VLOOKUP(E81,$J$5:$K$18,2,FALSE),0)</x:f>
        <x:v>0.55</x:v>
      </x:c>
      <x:c r="P81" s="180" t="n">
        <x:f>$B$5*F81+$B$6*G81+$B$7*N81*O81*L81</x:f>
        <x:v>6.9750000000000005</x:v>
      </x:c>
      <x:c r="Q81" s="180" t="n">
        <x:f>$B$5*(F81+3*H81+J81)+$B$6*(G81+3*I81+K81)+$B$7*N81*O81*(L81+M81)</x:f>
        <x:v>10.500000000000002</x:v>
      </x:c>
      <x:c r="R81" s="181" t="n">
        <x:f>IFERROR(Q81/(P81*(1+$B$8)^3)-1,0)</x:f>
        <x:v>-0.03556909359366567</x:v>
      </x:c>
      <x:c r="S81" t="str">
        <x:f>IF(R81&gt;$B$9,"Przetrzymaj 3T",IF(R81&lt;-$B$9,"Wystaw teraz","Zbliżona wartość"))</x:f>
        <x:v>Zbliżona wartość</x:v>
      </x:c>
      <x:c r="T81" t="str">
        <x:v>Ocena orientacyjna; potwierdź testami</x:v>
      </x:c>
    </x:row>
    <x:row r="82" ht="21" customHeight="1">
      <x:c r="A82" t="str">
        <x:v>S105</x:v>
      </x:c>
      <x:c r="B82" t="str">
        <x:f>'Katalog kart'!M68</x:f>
        <x:v>Ludzie</x:v>
      </x:c>
      <x:c r="C82" t="str">
        <x:f>'Katalog kart'!D68</x:f>
        <x:v>Zbrojmistrz Garnizonu</x:v>
      </x:c>
      <x:c r="D82" t="str">
        <x:f>'Katalog kart'!B68</x:f>
        <x:v>Pasywna</x:v>
      </x:c>
      <x:c r="E82" t="str">
        <x:f>'Katalog kart'!C68</x:f>
        <x:v>Pancerz</x:v>
      </x:c>
      <x:c r="F82" t="n">
        <x:f>'Katalog kart'!E68</x:f>
        <x:v>2</x:v>
      </x:c>
      <x:c r="G82" t="n">
        <x:f>'Katalog kart'!F68</x:f>
        <x:v>7</x:v>
      </x:c>
      <x:c r="H82" t="n">
        <x:f>'Balans — karty'!H66</x:f>
        <x:v>0</x:v>
      </x:c>
      <x:c r="I82" t="n">
        <x:f>'Balans — karty'!I66</x:f>
        <x:v>2</x:v>
      </x:c>
      <x:c r="J82" t="n">
        <x:f>IF(OR(E82="Szybki atak",E82="Podwójny atak"),2,0)</x:f>
        <x:v>0</x:v>
      </x:c>
      <x:c r="K82" t="n">
        <x:f>IF(E82="Szybki atak",1,IF(OR(E82="Tarcza",E82="Prowokacja"),3,0))</x:f>
        <x:v>0</x:v>
      </x:c>
      <x:c r="L82" s="169" t="n">
        <x:v>2</x:v>
      </x:c>
      <x:c r="M82" s="169" t="n">
        <x:v>1</x:v>
      </x:c>
      <x:c r="N82" t="n">
        <x:f>IFERROR(VLOOKUP(D82,$G$5:$H$9,2,FALSE),0)</x:f>
        <x:v>1.5</x:v>
      </x:c>
      <x:c r="O82" t="n">
        <x:f>IFERROR(VLOOKUP(E82,$J$5:$K$18,2,FALSE),0)</x:f>
        <x:v>0.65</x:v>
      </x:c>
      <x:c r="P82" s="180" t="n">
        <x:f>$B$5*F82+$B$6*G82+$B$7*N82*O82*L82</x:f>
        <x:v>7.1000000000000005</x:v>
      </x:c>
      <x:c r="Q82" s="180" t="n">
        <x:f>$B$5*(F82+3*H82+J82)+$B$6*(G82+3*I82+K82)+$B$7*N82*O82*(L82+M82)</x:f>
        <x:v>10.775</x:v>
      </x:c>
      <x:c r="R82" s="181" t="n">
        <x:f>IFERROR(Q82/(P82*(1+$B$8)^3)-1,0)</x:f>
        <x:v>-0.027734305294640493</x:v>
      </x:c>
      <x:c r="S82" t="str">
        <x:f>IF(R82&gt;$B$9,"Przetrzymaj 3T",IF(R82&lt;-$B$9,"Wystaw teraz","Zbliżona wartość"))</x:f>
        <x:v>Zbliżona wartość</x:v>
      </x:c>
      <x:c r="T82" t="str">
        <x:v>Ocena orientacyjna; potwierdź testami</x:v>
      </x:c>
    </x:row>
    <x:row r="83" ht="21" customHeight="1">
      <x:c r="A83" t="str">
        <x:v>S106</x:v>
      </x:c>
      <x:c r="B83" t="str">
        <x:f>'Katalog kart'!M69</x:f>
        <x:v>Ludzie</x:v>
      </x:c>
      <x:c r="C83" t="str">
        <x:f>'Katalog kart'!D69</x:f>
        <x:v>Chorąży z Pawężą</x:v>
      </x:c>
      <x:c r="D83" t="str">
        <x:f>'Katalog kart'!B69</x:f>
        <x:v>Pasywna</x:v>
      </x:c>
      <x:c r="E83" t="str">
        <x:f>'Katalog kart'!C69</x:f>
        <x:v>Tarcza</x:v>
      </x:c>
      <x:c r="F83" t="n">
        <x:f>'Katalog kart'!E69</x:f>
        <x:v>3</x:v>
      </x:c>
      <x:c r="G83" t="n">
        <x:f>'Katalog kart'!F69</x:f>
        <x:v>7</x:v>
      </x:c>
      <x:c r="H83" t="n">
        <x:f>'Balans — karty'!H67</x:f>
        <x:v>0</x:v>
      </x:c>
      <x:c r="I83" t="n">
        <x:f>'Balans — karty'!I67</x:f>
        <x:v>2</x:v>
      </x:c>
      <x:c r="J83" t="n">
        <x:f>IF(OR(E83="Szybki atak",E83="Podwójny atak"),2,0)</x:f>
        <x:v>0</x:v>
      </x:c>
      <x:c r="K83" t="n">
        <x:f>IF(E83="Szybki atak",1,IF(OR(E83="Tarcza",E83="Prowokacja"),3,0))</x:f>
        <x:v>3</x:v>
      </x:c>
      <x:c r="L83" s="169" t="n">
        <x:v>1</x:v>
      </x:c>
      <x:c r="M83" s="169" t="n">
        <x:v>0</x:v>
      </x:c>
      <x:c r="N83" t="n">
        <x:f>IFERROR(VLOOKUP(D83,$G$5:$H$9,2,FALSE),0)</x:f>
        <x:v>1.5</x:v>
      </x:c>
      <x:c r="O83" t="n">
        <x:f>IFERROR(VLOOKUP(E83,$J$5:$K$18,2,FALSE),0)</x:f>
        <x:v>3</x:v>
      </x:c>
      <x:c r="P83" s="180" t="n">
        <x:f>$B$5*F83+$B$6*G83+$B$7*N83*O83*L83</x:f>
        <x:v>10.65</x:v>
      </x:c>
      <x:c r="Q83" s="180" t="n">
        <x:f>$B$5*(F83+3*H83+J83)+$B$6*(G83+3*I83+K83)+$B$7*N83*O83*(L83+M83)</x:f>
        <x:v>14.7</x:v>
      </x:c>
      <x:c r="R83" s="181" t="n">
        <x:f>IFERROR(Q83/(P83*(1+$B$8)^3)-1,0)</x:f>
        <x:v>-0.1157119435626428</x:v>
      </x:c>
      <x:c r="S83" t="str">
        <x:f>IF(R83&gt;$B$9,"Przetrzymaj 3T",IF(R83&lt;-$B$9,"Wystaw teraz","Zbliżona wartość"))</x:f>
        <x:v>Zbliżona wartość</x:v>
      </x:c>
      <x:c r="T83" t="str">
        <x:v>Ocena orientacyjna; potwierdź testami</x:v>
      </x:c>
    </x:row>
    <x:row r="84" ht="21" customHeight="1">
      <x:c r="A84" t="str">
        <x:v>S107</x:v>
      </x:c>
      <x:c r="B84" t="str">
        <x:f>'Katalog kart'!M70</x:f>
        <x:v>Ludzie</x:v>
      </x:c>
      <x:c r="C84" t="str">
        <x:f>'Katalog kart'!D70</x:f>
        <x:v>Chemik Wojskowy</x:v>
      </x:c>
      <x:c r="D84" t="str">
        <x:f>'Katalog kart'!B70</x:f>
        <x:v>Pasywna</x:v>
      </x:c>
      <x:c r="E84" t="str">
        <x:f>'Katalog kart'!C70</x:f>
        <x:v>Trucizna</x:v>
      </x:c>
      <x:c r="F84" t="n">
        <x:f>'Katalog kart'!E70</x:f>
        <x:v>2</x:v>
      </x:c>
      <x:c r="G84" t="n">
        <x:f>'Katalog kart'!F70</x:f>
        <x:v>6</x:v>
      </x:c>
      <x:c r="H84" t="n">
        <x:f>'Balans — karty'!H68</x:f>
        <x:v>2</x:v>
      </x:c>
      <x:c r="I84" t="n">
        <x:f>'Balans — karty'!I68</x:f>
        <x:v>0</x:v>
      </x:c>
      <x:c r="J84" t="n">
        <x:f>IF(OR(E84="Szybki atak",E84="Podwójny atak"),2,0)</x:f>
        <x:v>0</x:v>
      </x:c>
      <x:c r="K84" t="n">
        <x:f>IF(E84="Szybki atak",1,IF(OR(E84="Tarcza",E84="Prowokacja"),3,0))</x:f>
        <x:v>0</x:v>
      </x:c>
      <x:c r="L84" s="169" t="n">
        <x:v>1</x:v>
      </x:c>
      <x:c r="M84" s="169" t="n">
        <x:v>1</x:v>
      </x:c>
      <x:c r="N84" t="n">
        <x:f>IFERROR(VLOOKUP(D84,$G$5:$H$9,2,FALSE),0)</x:f>
        <x:v>1.5</x:v>
      </x:c>
      <x:c r="O84" t="n">
        <x:f>IFERROR(VLOOKUP(E84,$J$5:$K$18,2,FALSE),0)</x:f>
        <x:v>1.5</x:v>
      </x:c>
      <x:c r="P84" s="180" t="n">
        <x:f>$B$5*F84+$B$6*G84+$B$7*N84*O84*L84</x:f>
        <x:v>6.95</x:v>
      </x:c>
      <x:c r="Q84" s="180" t="n">
        <x:f>$B$5*(F84+3*H84+J84)+$B$6*(G84+3*I84+K84)+$B$7*N84*O84*(L84+M84)</x:f>
        <x:v>15.2</x:v>
      </x:c>
      <x:c r="R84" s="181" t="n">
        <x:f>IFERROR(Q84/(P84*(1+$B$8)^3)-1,0)</x:f>
        <x:v>0.4011505953710115</x:v>
      </x:c>
      <x:c r="S84" t="str">
        <x:f>IF(R84&gt;$B$9,"Przetrzymaj 3T",IF(R84&lt;-$B$9,"Wystaw teraz","Zbliżona wartość"))</x:f>
        <x:v>Przetrzymaj 3T</x:v>
      </x:c>
      <x:c r="T84" t="str">
        <x:v>Ocena orientacyjna; potwierdź testami</x:v>
      </x:c>
    </x:row>
    <x:row r="85" ht="21" customHeight="1">
      <x:c r="A85" t="str">
        <x:v>S108</x:v>
      </x:c>
      <x:c r="B85" t="str">
        <x:f>'Katalog kart'!M71</x:f>
        <x:v>Ludzie</x:v>
      </x:c>
      <x:c r="C85" t="str">
        <x:f>'Katalog kart'!D71</x:f>
        <x:v>Królewski Trębacz</x:v>
      </x:c>
      <x:c r="D85" t="str">
        <x:f>'Katalog kart'!B71</x:f>
        <x:v>Pasywna</x:v>
      </x:c>
      <x:c r="E85" t="str">
        <x:f>'Katalog kart'!C71</x:f>
        <x:v>Ogłuszenie</x:v>
      </x:c>
      <x:c r="F85" t="n">
        <x:f>'Katalog kart'!E71</x:f>
        <x:v>1</x:v>
      </x:c>
      <x:c r="G85" t="n">
        <x:f>'Katalog kart'!F71</x:f>
        <x:v>6</x:v>
      </x:c>
      <x:c r="H85" t="n">
        <x:f>'Balans — karty'!H69</x:f>
        <x:v>1</x:v>
      </x:c>
      <x:c r="I85" t="n">
        <x:f>'Balans — karty'!I69</x:f>
        <x:v>1</x:v>
      </x:c>
      <x:c r="J85" t="n">
        <x:f>IF(OR(E85="Szybki atak",E85="Podwójny atak"),2,0)</x:f>
        <x:v>0</x:v>
      </x:c>
      <x:c r="K85" t="n">
        <x:f>IF(E85="Szybki atak",1,IF(OR(E85="Tarcza",E85="Prowokacja"),3,0))</x:f>
        <x:v>0</x:v>
      </x:c>
      <x:c r="L85" s="169" t="n">
        <x:v>1</x:v>
      </x:c>
      <x:c r="M85" s="169" t="n">
        <x:v>1</x:v>
      </x:c>
      <x:c r="N85" t="n">
        <x:f>IFERROR(VLOOKUP(D85,$G$5:$H$9,2,FALSE),0)</x:f>
        <x:v>1.5</x:v>
      </x:c>
      <x:c r="O85" t="n">
        <x:f>IFERROR(VLOOKUP(E85,$J$5:$K$18,2,FALSE),0)</x:f>
        <x:v>2.5</x:v>
      </x:c>
      <x:c r="P85" s="180" t="n">
        <x:f>$B$5*F85+$B$6*G85+$B$7*N85*O85*L85</x:f>
        <x:v>7.45</x:v>
      </x:c>
      <x:c r="Q85" s="180" t="n">
        <x:f>$B$5*(F85+3*H85+J85)+$B$6*(G85+3*I85+K85)+$B$7*N85*O85*(L85+M85)</x:f>
        <x:v>15.55</x:v>
      </x:c>
      <x:c r="R85" s="181" t="n">
        <x:f>IFERROR(Q85/(P85*(1+$B$8)^3)-1,0)</x:f>
        <x:v>0.33721165417020194</x:v>
      </x:c>
      <x:c r="S85" t="str">
        <x:f>IF(R85&gt;$B$9,"Przetrzymaj 3T",IF(R85&lt;-$B$9,"Wystaw teraz","Zbliżona wartość"))</x:f>
        <x:v>Przetrzymaj 3T</x:v>
      </x:c>
      <x:c r="T85" t="str">
        <x:v>Ocena orientacyjna; potwierdź testami</x:v>
      </x:c>
    </x:row>
    <x:row r="86" ht="21" customHeight="1">
      <x:c r="A86" t="str">
        <x:v>S109</x:v>
      </x:c>
      <x:c r="B86" t="str">
        <x:f>'Katalog kart'!M72</x:f>
        <x:v>Ludzie</x:v>
      </x:c>
      <x:c r="C86" t="str">
        <x:f>'Katalog kart'!D72</x:f>
        <x:v>Kapelan Odnowy</x:v>
      </x:c>
      <x:c r="D86" t="str">
        <x:f>'Katalog kart'!B72</x:f>
        <x:v>Pasywna</x:v>
      </x:c>
      <x:c r="E86" t="str">
        <x:f>'Katalog kart'!C72</x:f>
        <x:v>Regeneracja</x:v>
      </x:c>
      <x:c r="F86" t="n">
        <x:f>'Katalog kart'!E72</x:f>
        <x:v>2</x:v>
      </x:c>
      <x:c r="G86" t="n">
        <x:f>'Katalog kart'!F72</x:f>
        <x:v>7</x:v>
      </x:c>
      <x:c r="H86" t="n">
        <x:f>'Balans — karty'!H70</x:f>
        <x:v>0</x:v>
      </x:c>
      <x:c r="I86" t="n">
        <x:f>'Balans — karty'!I70</x:f>
        <x:v>2</x:v>
      </x:c>
      <x:c r="J86" t="n">
        <x:f>IF(OR(E86="Szybki atak",E86="Podwójny atak"),2,0)</x:f>
        <x:v>0</x:v>
      </x:c>
      <x:c r="K86" t="n">
        <x:f>IF(E86="Szybki atak",1,IF(OR(E86="Tarcza",E86="Prowokacja"),3,0))</x:f>
        <x:v>0</x:v>
      </x:c>
      <x:c r="L86" s="169" t="n">
        <x:v>1</x:v>
      </x:c>
      <x:c r="M86" s="169" t="n">
        <x:v>1</x:v>
      </x:c>
      <x:c r="N86" t="n">
        <x:f>IFERROR(VLOOKUP(D86,$G$5:$H$9,2,FALSE),0)</x:f>
        <x:v>1.5</x:v>
      </x:c>
      <x:c r="O86" t="n">
        <x:f>IFERROR(VLOOKUP(E86,$J$5:$K$18,2,FALSE),0)</x:f>
        <x:v>0.85</x:v>
      </x:c>
      <x:c r="P86" s="180" t="n">
        <x:f>$B$5*F86+$B$6*G86+$B$7*N86*O86*L86</x:f>
        <x:v>6.425000000000001</x:v>
      </x:c>
      <x:c r="Q86" s="180" t="n">
        <x:f>$B$5*(F86+3*H86+J86)+$B$6*(G86+3*I86+K86)+$B$7*N86*O86*(L86+M86)</x:f>
        <x:v>10.4</x:v>
      </x:c>
      <x:c r="R86" s="181" t="n">
        <x:f>IFERROR(Q86/(P86*(1+$B$8)^3)-1,0)</x:f>
        <x:v>0.03701786845603827</x:v>
      </x:c>
      <x:c r="S86" t="str">
        <x:f>IF(R86&gt;$B$9,"Przetrzymaj 3T",IF(R86&lt;-$B$9,"Wystaw teraz","Zbliżona wartość"))</x:f>
        <x:v>Zbliżona wartość</x:v>
      </x:c>
      <x:c r="T86" t="str">
        <x:v>Ocena orientacyjna; potwierdź testami</x:v>
      </x:c>
    </x:row>
    <x:row r="87" ht="21" customHeight="1">
      <x:c r="A87" t="str">
        <x:v>S33</x:v>
      </x:c>
      <x:c r="B87" t="str">
        <x:f>'Katalog kart'!M73</x:f>
        <x:v>Ludzie</x:v>
      </x:c>
      <x:c r="C87" t="str">
        <x:f>'Katalog kart'!D73</x:f>
        <x:v>Strażnik Bram</x:v>
      </x:c>
      <x:c r="D87" t="str">
        <x:f>'Katalog kart'!B73</x:f>
        <x:v>Pasywna</x:v>
      </x:c>
      <x:c r="E87" t="str">
        <x:f>'Katalog kart'!C73</x:f>
        <x:v>Prowokacja</x:v>
      </x:c>
      <x:c r="F87" t="n">
        <x:f>'Katalog kart'!E73</x:f>
        <x:v>2</x:v>
      </x:c>
      <x:c r="G87" t="n">
        <x:f>'Katalog kart'!F73</x:f>
        <x:v>8</x:v>
      </x:c>
      <x:c r="H87" t="n">
        <x:f>'Balans — karty'!H71</x:f>
        <x:v>0</x:v>
      </x:c>
      <x:c r="I87" t="n">
        <x:f>'Balans — karty'!I71</x:f>
        <x:v>2</x:v>
      </x:c>
      <x:c r="J87" t="n">
        <x:f>IF(OR(E87="Szybki atak",E87="Podwójny atak"),2,0)</x:f>
        <x:v>0</x:v>
      </x:c>
      <x:c r="K87" t="n">
        <x:f>IF(E87="Szybki atak",1,IF(OR(E87="Tarcza",E87="Prowokacja"),3,0))</x:f>
        <x:v>3</x:v>
      </x:c>
      <x:c r="L87" s="169" t="n">
        <x:v>1</x:v>
      </x:c>
      <x:c r="M87" s="169" t="n">
        <x:v>0</x:v>
      </x:c>
      <x:c r="N87" t="n">
        <x:f>IFERROR(VLOOKUP(D87,$G$5:$H$9,2,FALSE),0)</x:f>
        <x:v>1.5</x:v>
      </x:c>
      <x:c r="O87" t="n">
        <x:f>IFERROR(VLOOKUP(E87,$J$5:$K$18,2,FALSE),0)</x:f>
        <x:v>2.4</x:v>
      </x:c>
      <x:c r="P87" s="180" t="n">
        <x:f>$B$5*F87+$B$6*G87+$B$7*N87*O87*L87</x:f>
        <x:v>9.2</x:v>
      </x:c>
      <x:c r="Q87" s="180" t="n">
        <x:f>$B$5*(F87+3*H87+J87)+$B$6*(G87+3*I87+K87)+$B$7*N87*O87*(L87+M87)</x:f>
        <x:v>13.25</x:v>
      </x:c>
      <x:c r="R87" s="181" t="n">
        <x:f>IFERROR(Q87/(P87*(1+$B$8)^3)-1,0)</x:f>
        <x:v>-0.07731367669316336</x:v>
      </x:c>
      <x:c r="S87" t="str">
        <x:f>IF(R87&gt;$B$9,"Przetrzymaj 3T",IF(R87&lt;-$B$9,"Wystaw teraz","Zbliżona wartość"))</x:f>
        <x:v>Zbliżona wartość</x:v>
      </x:c>
      <x:c r="T87" t="str">
        <x:v>Ocena orientacyjna; potwierdź testami</x:v>
      </x:c>
    </x:row>
    <x:row r="88" ht="21" customHeight="1">
      <x:c r="A88" t="str">
        <x:v>S111</x:v>
      </x:c>
      <x:c r="B88" t="str">
        <x:f>'Katalog kart'!M74</x:f>
        <x:v>Ludzie</x:v>
      </x:c>
      <x:c r="C88" t="str">
        <x:f>'Katalog kart'!D74</x:f>
        <x:v>Chirurg Frontowy</x:v>
      </x:c>
      <x:c r="D88" t="str">
        <x:f>'Katalog kart'!B74</x:f>
        <x:v>Pasywna</x:v>
      </x:c>
      <x:c r="E88" t="str">
        <x:f>'Katalog kart'!C74</x:f>
        <x:v>Oczyszczanie</x:v>
      </x:c>
      <x:c r="F88" t="n">
        <x:f>'Katalog kart'!E74</x:f>
        <x:v>2</x:v>
      </x:c>
      <x:c r="G88" t="n">
        <x:f>'Katalog kart'!F74</x:f>
        <x:v>7</x:v>
      </x:c>
      <x:c r="H88" t="n">
        <x:f>'Balans — karty'!H72</x:f>
        <x:v>1</x:v>
      </x:c>
      <x:c r="I88" t="n">
        <x:f>'Balans — karty'!I72</x:f>
        <x:v>1</x:v>
      </x:c>
      <x:c r="J88" t="n">
        <x:f>IF(OR(E88="Szybki atak",E88="Podwójny atak"),2,0)</x:f>
        <x:v>0</x:v>
      </x:c>
      <x:c r="K88" t="n">
        <x:f>IF(E88="Szybki atak",1,IF(OR(E88="Tarcza",E88="Prowokacja"),3,0))</x:f>
        <x:v>0</x:v>
      </x:c>
      <x:c r="L88" s="169" t="n">
        <x:v>1</x:v>
      </x:c>
      <x:c r="M88" s="169" t="n">
        <x:v>1</x:v>
      </x:c>
      <x:c r="N88" t="n">
        <x:f>IFERROR(VLOOKUP(D88,$G$5:$H$9,2,FALSE),0)</x:f>
        <x:v>1.5</x:v>
      </x:c>
      <x:c r="O88" t="n">
        <x:f>IFERROR(VLOOKUP(E88,$J$5:$K$18,2,FALSE),0)</x:f>
        <x:v>1.7</x:v>
      </x:c>
      <x:c r="P88" s="180" t="n">
        <x:f>$B$5*F88+$B$6*G88+$B$7*N88*O88*L88</x:f>
        <x:v>7.7</x:v>
      </x:c>
      <x:c r="Q88" s="180" t="n">
        <x:f>$B$5*(F88+3*H88+J88)+$B$6*(G88+3*I88+K88)+$B$7*N88*O88*(L88+M88)</x:f>
        <x:v>14.6</x:v>
      </x:c>
      <x:c r="R88" s="181" t="n">
        <x:f>IFERROR(Q88/(P88*(1+$B$8)^3)-1,0)</x:f>
        <x:v>0.2147535108706129</x:v>
      </x:c>
      <x:c r="S88" t="str">
        <x:f>IF(R88&gt;$B$9,"Przetrzymaj 3T",IF(R88&lt;-$B$9,"Wystaw teraz","Zbliżona wartość"))</x:f>
        <x:v>Przetrzymaj 3T</x:v>
      </x:c>
      <x:c r="T88" t="str">
        <x:v>Ocena orientacyjna; potwierdź testami</x:v>
      </x:c>
    </x:row>
    <x:row r="89" ht="21" customHeight="1">
      <x:c r="A89" t="str">
        <x:v>S39</x:v>
      </x:c>
      <x:c r="B89" t="str">
        <x:f>'Katalog kart'!M75</x:f>
        <x:v>Ludzie</x:v>
      </x:c>
      <x:c r="C89" t="str">
        <x:f>'Katalog kart'!D75</x:f>
        <x:v>Alchemik Antytoksyk</x:v>
      </x:c>
      <x:c r="D89" t="str">
        <x:f>'Katalog kart'!B75</x:f>
        <x:v>Pasywna</x:v>
      </x:c>
      <x:c r="E89" t="str">
        <x:f>'Katalog kart'!C75</x:f>
        <x:v>Odporność</x:v>
      </x:c>
      <x:c r="F89" t="n">
        <x:f>'Katalog kart'!E75</x:f>
        <x:v>4</x:v>
      </x:c>
      <x:c r="G89" t="n">
        <x:f>'Katalog kart'!F75</x:f>
        <x:v>7</x:v>
      </x:c>
      <x:c r="H89" t="n">
        <x:f>'Balans — karty'!H73</x:f>
        <x:v>0</x:v>
      </x:c>
      <x:c r="I89" t="n">
        <x:f>'Balans — karty'!I73</x:f>
        <x:v>2</x:v>
      </x:c>
      <x:c r="J89" t="n">
        <x:f>IF(OR(E89="Szybki atak",E89="Podwójny atak"),2,0)</x:f>
        <x:v>0</x:v>
      </x:c>
      <x:c r="K89" t="n">
        <x:f>IF(E89="Szybki atak",1,IF(OR(E89="Tarcza",E89="Prowokacja"),3,0))</x:f>
        <x:v>0</x:v>
      </x:c>
      <x:c r="L89" s="169" t="n">
        <x:v>1</x:v>
      </x:c>
      <x:c r="M89" s="169" t="n">
        <x:v>1</x:v>
      </x:c>
      <x:c r="N89" t="n">
        <x:f>IFERROR(VLOOKUP(D89,$G$5:$H$9,2,FALSE),0)</x:f>
        <x:v>1.5</x:v>
      </x:c>
      <x:c r="O89" t="n">
        <x:f>IFERROR(VLOOKUP(E89,$J$5:$K$18,2,FALSE),0)</x:f>
        <x:v>1.4</x:v>
      </x:c>
      <x:c r="P89" s="180" t="n">
        <x:f>$B$5*F89+$B$6*G89+$B$7*N89*O89*L89</x:f>
        <x:v>9.25</x:v>
      </x:c>
      <x:c r="Q89" s="180" t="n">
        <x:f>$B$5*(F89+3*H89+J89)+$B$6*(G89+3*I89+K89)+$B$7*N89*O89*(L89+M89)</x:f>
        <x:v>14.05</x:v>
      </x:c>
      <x:c r="R89" s="181" t="n">
        <x:f>IFERROR(Q89/(P89*(1+$B$8)^3)-1,0)</x:f>
        <x:v>-0.026892939107461933</x:v>
      </x:c>
      <x:c r="S89" t="str">
        <x:f>IF(R89&gt;$B$9,"Przetrzymaj 3T",IF(R89&lt;-$B$9,"Wystaw teraz","Zbliżona wartość"))</x:f>
        <x:v>Zbliżona wartość</x:v>
      </x:c>
      <x:c r="T89" t="str">
        <x:v>Ocena orientacyjna; potwierdź testami</x:v>
      </x:c>
    </x:row>
    <x:row r="90" ht="21" customHeight="1">
      <x:c r="A90" t="str">
        <x:v>S114</x:v>
      </x:c>
      <x:c r="B90" t="str">
        <x:f>'Katalog kart'!M76</x:f>
        <x:v>Ludzie</x:v>
      </x:c>
      <x:c r="C90" t="str">
        <x:f>'Katalog kart'!D76</x:f>
        <x:v>Instruktor Błyskawicznego Natarcia</x:v>
      </x:c>
      <x:c r="D90" t="str">
        <x:f>'Katalog kart'!B76</x:f>
        <x:v>Pasywna</x:v>
      </x:c>
      <x:c r="E90" t="str">
        <x:f>'Katalog kart'!C76</x:f>
        <x:v>Szybki atak</x:v>
      </x:c>
      <x:c r="F90" t="n">
        <x:f>'Katalog kart'!E76</x:f>
        <x:v>1</x:v>
      </x:c>
      <x:c r="G90" t="n">
        <x:f>'Katalog kart'!F76</x:f>
        <x:v>4</x:v>
      </x:c>
      <x:c r="H90" t="n">
        <x:f>'Balans — karty'!H74</x:f>
        <x:v>2</x:v>
      </x:c>
      <x:c r="I90" t="n">
        <x:f>'Balans — karty'!I74</x:f>
        <x:v>0</x:v>
      </x:c>
      <x:c r="J90" t="n">
        <x:f>IF(OR(E90="Szybki atak",E90="Podwójny atak"),2,0)</x:f>
        <x:v>2</x:v>
      </x:c>
      <x:c r="K90" t="n">
        <x:f>IF(E90="Szybki atak",1,IF(OR(E90="Tarcza",E90="Prowokacja"),3,0))</x:f>
        <x:v>1</x:v>
      </x:c>
      <x:c r="L90" s="169" t="n">
        <x:v>1</x:v>
      </x:c>
      <x:c r="M90" s="169" t="n">
        <x:v>0</x:v>
      </x:c>
      <x:c r="N90" t="n">
        <x:f>IFERROR(VLOOKUP(D90,$G$5:$H$9,2,FALSE),0)</x:f>
        <x:v>1.5</x:v>
      </x:c>
      <x:c r="O90" t="n">
        <x:f>IFERROR(VLOOKUP(E90,$J$5:$K$18,2,FALSE),0)</x:f>
        <x:v>2.6</x:v>
      </x:c>
      <x:c r="P90" s="180" t="n">
        <x:f>$B$5*F90+$B$6*G90+$B$7*N90*O90*L90</x:f>
        <x:v>6.7</x:v>
      </x:c>
      <x:c r="Q90" s="180" t="n">
        <x:f>$B$5*(F90+3*H90+J90)+$B$6*(G90+3*I90+K90)+$B$7*N90*O90*(L90+M90)</x:f>
        <x:v>15.15</x:v>
      </x:c>
      <x:c r="R90" s="181" t="n">
        <x:f>IFERROR(Q90/(P90*(1+$B$8)^3)-1,0)</x:f>
        <x:v>0.4486513065897706</x:v>
      </x:c>
      <x:c r="S90" t="str">
        <x:f>IF(R90&gt;$B$9,"Przetrzymaj 3T",IF(R90&lt;-$B$9,"Wystaw teraz","Zbliżona wartość"))</x:f>
        <x:v>Przetrzymaj 3T</x:v>
      </x:c>
      <x:c r="T90" t="str">
        <x:v>Ocena orientacyjna; potwierdź testami</x:v>
      </x:c>
    </x:row>
    <x:row r="91" ht="21" customHeight="1">
      <x:c r="A91" t="str">
        <x:v>S115</x:v>
      </x:c>
      <x:c r="B91" t="str">
        <x:f>'Katalog kart'!M77</x:f>
        <x:v>Ludzie</x:v>
      </x:c>
      <x:c r="C91" t="str">
        <x:f>'Katalog kart'!D77</x:f>
        <x:v>Mistrz Dwóch Ostrzy</x:v>
      </x:c>
      <x:c r="D91" t="str">
        <x:f>'Katalog kart'!B77</x:f>
        <x:v>Pasywna</x:v>
      </x:c>
      <x:c r="E91" t="str">
        <x:f>'Katalog kart'!C77</x:f>
        <x:v>Podwójny atak</x:v>
      </x:c>
      <x:c r="F91" t="n">
        <x:f>'Katalog kart'!E77</x:f>
        <x:v>1</x:v>
      </x:c>
      <x:c r="G91" t="n">
        <x:f>'Katalog kart'!F77</x:f>
        <x:v>5</x:v>
      </x:c>
      <x:c r="H91" t="n">
        <x:f>'Balans — karty'!H75</x:f>
        <x:v>2</x:v>
      </x:c>
      <x:c r="I91" t="n">
        <x:f>'Balans — karty'!I75</x:f>
        <x:v>0</x:v>
      </x:c>
      <x:c r="J91" t="n">
        <x:f>IF(OR(E91="Szybki atak",E91="Podwójny atak"),2,0)</x:f>
        <x:v>2</x:v>
      </x:c>
      <x:c r="K91" t="n">
        <x:f>IF(E91="Szybki atak",1,IF(OR(E91="Tarcza",E91="Prowokacja"),3,0))</x:f>
        <x:v>0</x:v>
      </x:c>
      <x:c r="L91" s="169" t="n">
        <x:v>1</x:v>
      </x:c>
      <x:c r="M91" s="169" t="n">
        <x:v>0</x:v>
      </x:c>
      <x:c r="N91" t="n">
        <x:f>IFERROR(VLOOKUP(D91,$G$5:$H$9,2,FALSE),0)</x:f>
        <x:v>1.5</x:v>
      </x:c>
      <x:c r="O91" t="n">
        <x:f>IFERROR(VLOOKUP(E91,$J$5:$K$18,2,FALSE),0)</x:f>
        <x:v>3.2</x:v>
      </x:c>
      <x:c r="P91" s="180" t="n">
        <x:f>$B$5*F91+$B$6*G91+$B$7*N91*O91*L91</x:f>
        <x:v>8.05</x:v>
      </x:c>
      <x:c r="Q91" s="180" t="n">
        <x:f>$B$5*(F91+3*H91+J91)+$B$6*(G91+3*I91+K91)+$B$7*N91*O91*(L91+M91)</x:f>
        <x:v>16.05</x:v>
      </x:c>
      <x:c r="R91" s="181" t="n">
        <x:f>IFERROR(Q91/(P91*(1+$B$8)^3)-1,0)</x:f>
        <x:v>0.27733610687437005</x:v>
      </x:c>
      <x:c r="S91" t="str">
        <x:f>IF(R91&gt;$B$9,"Przetrzymaj 3T",IF(R91&lt;-$B$9,"Wystaw teraz","Zbliżona wartość"))</x:f>
        <x:v>Przetrzymaj 3T</x:v>
      </x:c>
      <x:c r="T91" t="str">
        <x:v>Ocena orientacyjna; potwierdź testami</x:v>
      </x:c>
    </x:row>
    <x:row r="92" ht="21" customHeight="1">
      <x:c r="A92"/>
      <x:c r="B92"/>
      <x:c r="C92"/>
      <x:c r="D92"/>
      <x:c r="E92"/>
      <x:c r="F92"/>
      <x:c r="G92"/>
      <x:c r="H92"/>
      <x:c r="I92"/>
      <x:c r="J92"/>
      <x:c r="K92"/>
      <x:c r="L92" s="169"/>
      <x:c r="M92" s="169"/>
      <x:c r="N92"/>
      <x:c r="O92"/>
      <x:c r="P92" s="180"/>
      <x:c r="Q92" s="180"/>
      <x:c r="R92" s="181"/>
      <x:c r="S92"/>
      <x:c r="T92"/>
    </x:row>
    <x:row r="93" ht="21" customHeight="1">
      <x:c r="A93"/>
      <x:c r="B93"/>
      <x:c r="C93"/>
      <x:c r="D93"/>
      <x:c r="E93"/>
      <x:c r="F93"/>
      <x:c r="G93"/>
      <x:c r="H93"/>
      <x:c r="I93"/>
      <x:c r="J93"/>
      <x:c r="K93"/>
      <x:c r="L93" s="169"/>
      <x:c r="M93" s="169"/>
      <x:c r="N93"/>
      <x:c r="O93"/>
      <x:c r="P93" s="180"/>
      <x:c r="Q93" s="180"/>
      <x:c r="R93" s="181"/>
      <x:c r="S93"/>
      <x:c r="T93"/>
    </x:row>
    <x:row r="94" ht="21" customHeight="1">
      <x:c r="A94"/>
      <x:c r="B94"/>
      <x:c r="C94"/>
      <x:c r="D94"/>
      <x:c r="E94"/>
      <x:c r="F94"/>
      <x:c r="G94"/>
      <x:c r="H94"/>
      <x:c r="I94"/>
      <x:c r="J94"/>
      <x:c r="K94"/>
      <x:c r="L94" s="169"/>
      <x:c r="M94" s="169"/>
      <x:c r="N94"/>
      <x:c r="O94"/>
      <x:c r="P94" s="180"/>
      <x:c r="Q94" s="180"/>
      <x:c r="R94" s="181"/>
      <x:c r="S94"/>
      <x:c r="T94"/>
    </x:row>
    <x:row r="95" ht="21" customHeight="1">
      <x:c r="A95"/>
      <x:c r="B95"/>
      <x:c r="C95"/>
      <x:c r="D95"/>
      <x:c r="E95"/>
      <x:c r="F95"/>
      <x:c r="G95"/>
      <x:c r="H95"/>
      <x:c r="I95"/>
      <x:c r="J95"/>
      <x:c r="K95"/>
      <x:c r="L95" s="169"/>
      <x:c r="M95" s="169"/>
      <x:c r="N95"/>
      <x:c r="O95"/>
      <x:c r="P95" s="180"/>
      <x:c r="Q95" s="180"/>
      <x:c r="R95" s="181"/>
      <x:c r="S95"/>
      <x:c r="T95"/>
    </x:row>
    <x:row r="96" ht="21" customHeight="1">
      <x:c r="A96"/>
      <x:c r="B96"/>
      <x:c r="C96"/>
      <x:c r="D96"/>
      <x:c r="E96"/>
      <x:c r="F96"/>
      <x:c r="G96"/>
      <x:c r="H96"/>
      <x:c r="I96"/>
      <x:c r="J96"/>
      <x:c r="K96"/>
      <x:c r="L96" s="169"/>
      <x:c r="M96" s="169"/>
      <x:c r="N96"/>
      <x:c r="O96"/>
      <x:c r="P96" s="180"/>
      <x:c r="Q96" s="180"/>
      <x:c r="R96" s="181"/>
      <x:c r="S96"/>
      <x:c r="T96"/>
    </x:row>
  </x:sheetData>
  <x:mergeCells>
    <x:mergeCell ref="A1:T1"/>
    <x:mergeCell ref="A2:T2"/>
    <x:mergeCell ref="A3:T3"/>
    <x:mergeCell ref="A12:I12"/>
    <x:mergeCell ref="A13:I13"/>
    <x:mergeCell ref="A14:I14"/>
    <x:mergeCell ref="A15:I15"/>
    <x:mergeCell ref="A19:T19"/>
  </x:mergeCells>
  <x:conditionalFormatting sqref="R22:R96">
    <x:cfRule type="colorScale" priority="1">
      <x:colorScale>
        <x:cfvo type="min"/>
        <x:cfvo type="percentile" val="50"/>
        <x:cfvo type="max"/>
        <x:color rgb="FFFDD8D5"/>
        <x:color rgb="FFFFFFFF"/>
        <x:color rgb="FFC5F1DA"/>
      </x:colorScale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3" hidden="0" customWidth="1"/>
    <x:col min="3" max="3" width="46" hidden="0" customWidth="1"/>
    <x:col min="4" max="4" width="58" hidden="0" customWidth="1"/>
    <x:col min="5" max="5" width="47" hidden="0" customWidth="1"/>
  </x:cols>
  <x:sheetData>
    <x:row r="1" ht="35" customHeight="1">
      <x:c r="A1" s="173" t="str">
        <x:v>TOŻSAMOŚĆ FRAKCJI • NAZEWNICTWO I FANTASY</x:v>
      </x:c>
      <x:c r="B1" s="173"/>
      <x:c r="C1" s="173"/>
      <x:c r="D1" s="173"/>
      <x:c r="E1" s="173"/>
    </x:row>
    <x:row r="3" ht="28" customHeight="1">
      <x:c r="A3" s="178" t="str">
        <x:v>Frakcja</x:v>
      </x:c>
      <x:c r="B3" s="178" t="str">
        <x:v>Moment</x:v>
      </x:c>
      <x:c r="C3" s="178" t="str">
        <x:v>Motyw przewodni</x:v>
      </x:c>
      <x:c r="D3" s="178" t="str">
        <x:v>Inspiracje nazw</x:v>
      </x:c>
      <x:c r="E3" s="178" t="str">
        <x:v>Wrażenie podczas gry</x:v>
      </x:c>
    </x:row>
    <x:row r="4" ht="46" customHeight="1">
      <x:c r="A4" s="91" t="str">
        <x:v>Elfy</x:v>
      </x:c>
      <x:c r="B4" s="91" t="str">
        <x:v>Przy wystawieniu</x:v>
      </x:c>
      <x:c r="C4" s="91" t="str">
        <x:v>Magia, księżyc, runy, żywy las</x:v>
      </x:c>
      <x:c r="D4" s="91" t="str">
        <x:v>Mag Zorzy, Tkacz Run, Druid Odnowy</x:v>
      </x:c>
      <x:c r="E4" s="91" t="str">
        <x:v>Natychmiastowy impuls magiczny</x:v>
      </x:c>
    </x:row>
    <x:row r="5" ht="46" customHeight="1">
      <x:c r="A5" s="91" t="str">
        <x:v>Dzikie bestie</x:v>
      </x:c>
      <x:c r="B5" s="91" t="str">
        <x:v>Przy ataku</x:v>
      </x:c>
      <x:c r="C5" s="91" t="str">
        <x:v>Zwierzęta, pazury, kły, instynkt, dzicz</x:v>
      </x:c>
      <x:c r="D5" s="91" t="str">
        <x:v>Wilk Szponiasty, Żółw Rogaty, Dwugłowa Hiena</x:v>
      </x:c>
      <x:c r="E5" s="91" t="str">
        <x:v>Presja, ofensywa, kontakty w walce</x:v>
      </x:c>
    </x:row>
    <x:row r="6" ht="46" customHeight="1">
      <x:c r="A6" s="91" t="str">
        <x:v>Potwory</x:v>
      </x:c>
      <x:c r="B6" s="91" t="str">
        <x:v>Przy śmierci</x:v>
      </x:c>
      <x:c r="C6" s="91" t="str">
        <x:v>Nieumarli, zjawy, potworności, plagi, klątwy</x:v>
      </x:c>
      <x:c r="D6" s="91" t="str">
        <x:v>Trupi Rój, Banshee Krzyku, Widmo Otchłani</x:v>
      </x:c>
      <x:c r="E6" s="91" t="str">
        <x:v>Groźba wyzwolenia mocy przy zgonie</x:v>
      </x:c>
    </x:row>
    <x:row r="7" ht="46" customHeight="1">
      <x:c r="A7" s="91" t="str">
        <x:v>Krasnoludy</x:v>
      </x:c>
      <x:c r="B7" s="91" t="str">
        <x:v>Na koniec tury</x:v>
      </x:c>
      <x:c r="C7" s="91" t="str">
        <x:v>Kopalnie, kuźnie, rzemiosło, machiny, runy</x:v>
      </x:c>
      <x:c r="D7" s="91" t="str">
        <x:v>Pirotechnik Kuźni, Młotnik Wstrząsów</x:v>
      </x:c>
      <x:c r="E7" s="91" t="str">
        <x:v>Wytrwały zysk z kolejnych końców tur</x:v>
      </x:c>
    </x:row>
    <x:row r="8" ht="46" customHeight="1">
      <x:c r="A8" s="91" t="str">
        <x:v>Ludzie</x:v>
      </x:c>
      <x:c r="B8" s="91" t="str">
        <x:v>Pasywna</x:v>
      </x:c>
      <x:c r="C8" s="91" t="str">
        <x:v>Armia, garnizon, organizacja, kapelani, szkolenie</x:v>
      </x:c>
      <x:c r="D8" s="91" t="str">
        <x:v>Chorąży Królewskiej Kompanii, Strateg Polowy</x:v>
      </x:c>
      <x:c r="E8" s="91" t="str">
        <x:v>Synergie pozycyjne i społeczne</x:v>
      </x:c>
    </x:row>
    <x:row r="10">
      <x:c r="A10" s="182" t="str">
        <x:v>Nazewnictwo nie zmienia mechanik, ID, ATK, HP, profili skalowania ani efektów specjalnych.</x:v>
      </x:c>
      <x:c r="B10" s="182"/>
      <x:c r="C10" s="182"/>
      <x:c r="D10" s="182"/>
      <x:c r="E10" s="182"/>
    </x:row>
  </x:sheetData>
  <x:mergeCells>
    <x:mergeCell ref="A1:E1"/>
    <x:mergeCell ref="A10:E10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29" hidden="0" customWidth="1"/>
    <x:col min="4" max="4" width="19" hidden="0" customWidth="1"/>
    <x:col min="5" max="5" width="55" hidden="0" customWidth="1"/>
  </x:cols>
  <x:sheetData>
    <x:row r="1" ht="31" customHeight="1">
      <x:c r="A1" s="186" t="str">
        <x:v>ID</x:v>
      </x:c>
      <x:c r="B1" s="186" t="str">
        <x:v>Frakcja</x:v>
      </x:c>
      <x:c r="C1" s="186" t="str">
        <x:v>Archetyp</x:v>
      </x:c>
      <x:c r="D1" s="186" t="str">
        <x:v>Rodzaj efektu</x:v>
      </x:c>
      <x:c r="E1" s="186" t="str">
        <x:v>Dlaczego usunięta z bazy</x:v>
      </x:c>
    </x:row>
    <x:row r="2">
      <x:c r="A2" t="str">
        <x:v>S13</x:v>
      </x:c>
      <x:c r="B2" t="str">
        <x:v>Dzikie bestie</x:v>
      </x:c>
      <x:c r="C2" t="str">
        <x:v>Ryś Tropiciel</x:v>
      </x:c>
      <x:c r="D2" t="str">
        <x:v>Obrażenia</x:v>
      </x:c>
      <x:c r="E2" t="str">
        <x:v>Duplikat w tej samej kombinacji frakcja × efekt</x:v>
      </x:c>
    </x:row>
    <x:row r="3">
      <x:c r="A3" t="str">
        <x:v>S16</x:v>
      </x:c>
      <x:c r="B3" t="str">
        <x:v>Dzikie bestie</x:v>
      </x:c>
      <x:c r="C3" t="str">
        <x:v>Święty Jeleń</x:v>
      </x:c>
      <x:c r="D3" t="str">
        <x:v>Leczenie</x:v>
      </x:c>
      <x:c r="E3" t="str">
        <x:v>Duplikat w tej samej kombinacji frakcja × efekt</x:v>
      </x:c>
    </x:row>
    <x:row r="4">
      <x:c r="A4" t="str">
        <x:v>S18</x:v>
      </x:c>
      <x:c r="B4" t="str">
        <x:v>Potwory</x:v>
      </x:c>
      <x:c r="C4" t="str">
        <x:v>Trupi Rój</x:v>
      </x:c>
      <x:c r="D4" t="str">
        <x:v>Obrażenia</x:v>
      </x:c>
      <x:c r="E4" t="str">
        <x:v>Duplikat w tej samej kombinacji frakcja × efekt</x:v>
      </x:c>
    </x:row>
    <x:row r="5">
      <x:c r="A5" t="str">
        <x:v>S30</x:v>
      </x:c>
      <x:c r="B5" t="str">
        <x:v>Krasnoludy</x:v>
      </x:c>
      <x:c r="C5" t="str">
        <x:v>Pirotechnik Kuźni</x:v>
      </x:c>
      <x:c r="D5" t="str">
        <x:v>Obrażenia</x:v>
      </x:c>
      <x:c r="E5" t="str">
        <x:v>Duplikat w tej samej kombinacji frakcja × efekt</x:v>
      </x:c>
    </x:row>
    <x:row r="6">
      <x:c r="A6" t="str">
        <x:v>S37</x:v>
      </x:c>
      <x:c r="B6" t="str">
        <x:v>Ludzie</x:v>
      </x:c>
      <x:c r="C6" t="str">
        <x:v>Strateg Polowy</x:v>
      </x:c>
      <x:c r="D6" t="str">
        <x:v>ATK ±</x:v>
      </x:c>
      <x:c r="E6" t="str">
        <x:v>Duplikat w tej samej kombinacji frakcja × efekt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8" topLeftCell="A9" activePane="bottomLeft" state="frozen"/>
    </x:sheetView>
  </x:sheetViews>
  <x:sheetFormatPr defaultRowHeight="15"/>
  <x:cols>
    <x:col min="1" max="1" width="10" hidden="0" customWidth="1"/>
    <x:col min="2" max="2" width="16" hidden="0" customWidth="1"/>
    <x:col min="3" max="3" width="30" hidden="0" customWidth="1"/>
    <x:col min="4" max="4" width="20" hidden="0" customWidth="1"/>
    <x:col min="5" max="5" width="20" hidden="0" customWidth="1"/>
    <x:col min="6" max="6" width="13" hidden="0" customWidth="1"/>
    <x:col min="7" max="7" width="13" hidden="0" customWidth="1"/>
    <x:col min="8" max="8" width="16" hidden="0" customWidth="1"/>
    <x:col min="9" max="9" width="17" hidden="0" customWidth="1"/>
    <x:col min="10" max="10" width="15" hidden="0" customWidth="1"/>
    <x:col min="11" max="11" width="16" hidden="0" customWidth="1"/>
    <x:col min="12" max="12" width="18" hidden="0" customWidth="1"/>
    <x:col min="13" max="13" width="33" hidden="0" customWidth="1"/>
    <x:col min="14" max="14" width="24" hidden="0" customWidth="1"/>
    <x:col min="15" max="15" width="24" hidden="0" customWidth="1"/>
    <x:col min="16" max="16" width="24" hidden="0" customWidth="1"/>
    <x:col min="17" max="17" width="19" hidden="0" customWidth="1"/>
    <x:col min="18" max="18" width="31" hidden="0" customWidth="1"/>
  </x:cols>
  <x:sheetData>
    <x:row r="1" ht="35" customHeight="1">
      <x:c r="A1" s="184" t="str">
        <x:v>WSPÓLNY BUDŻET MOCY • 70 KART</x:v>
      </x:c>
      <x:c r="B1" s="184"/>
      <x:c r="C1" s="184"/>
      <x:c r="D1" s="184"/>
      <x:c r="E1" s="184"/>
      <x:c r="F1" s="184"/>
      <x:c r="G1" s="184"/>
      <x:c r="H1" s="184"/>
      <x:c r="I1" s="184"/>
      <x:c r="J1" s="184"/>
      <x:c r="K1" s="184"/>
      <x:c r="L1" s="184"/>
      <x:c r="M1" s="184"/>
    </x:row>
    <x:row r="2">
      <x:c r="A2" t="str">
        <x:v>HISTORYCZNY / POMOCNICZY ARKUSZ V12 — aktualny balans i wyniki symulacji w „Balans V13 — 70 kart”.</x:v>
      </x:c>
    </x:row>
    <x:row r="3">
      <x:c r="A3" t="str">
        <x:v>Zachowany dla porównania: jego prognozy mogą zawyżać statusy i działania powtarzalne.</x:v>
      </x:c>
    </x:row>
    <x:row r="5" ht="31" customHeight="1">
      <x:c r="A5" s="186" t="str">
        <x:v>Cel sumy (mediana)</x:v>
      </x:c>
      <x:c r="B5" s="186" t="str">
        <x:v>Tolerancja ±</x:v>
      </x:c>
      <x:c r="C5" s="186" t="str">
        <x:v>Karty</x:v>
      </x:c>
      <x:c r="D5" s="186" t="str">
        <x:v>W normie</x:v>
      </x:c>
      <x:c r="E5" s="186" t="str">
        <x:v>Za mocne</x:v>
      </x:c>
      <x:c r="F5" s="186" t="str">
        <x:v>Za słabe</x:v>
      </x:c>
      <x:c r="G5" s="186" t="str">
        <x:v>Średnia suma</x:v>
      </x:c>
      <x:c r="H5" s="186" t="str">
        <x:v>Rozstęp sum</x:v>
      </x:c>
    </x:row>
    <x:row r="6">
      <x:c r="A6" t="n">
        <x:f>MEDIAN(H9:H78)</x:f>
        <x:v>20.025</x:v>
      </x:c>
      <x:c r="B6" s="187" t="n">
        <x:v>0.12</x:v>
      </x:c>
      <x:c r="C6" t="n">
        <x:f>COUNTA(A9:A78)</x:f>
        <x:v>70</x:v>
      </x:c>
      <x:c r="D6" t="n">
        <x:f>COUNTIF(K9:K78,"OK")</x:f>
        <x:v>44</x:v>
      </x:c>
      <x:c r="E6" t="n">
        <x:f>COUNTIF(K9:K78,"ZA MOCNA")</x:f>
        <x:v>14</x:v>
      </x:c>
      <x:c r="F6" t="n">
        <x:f>COUNTIF(K9:K78,"ZA SŁABA")</x:f>
        <x:v>12</x:v>
      </x:c>
      <x:c r="G6" t="n">
        <x:f>AVERAGE(H9:H78)</x:f>
        <x:v>20.500857142857143</x:v>
      </x:c>
      <x:c r="H6" t="n">
        <x:f>MAX(H9:H78)-MIN(H9:H78)</x:f>
        <x:v>16.05</x:v>
      </x:c>
      <x:c r="J6" t="str">
        <x:v>W normie po propozycjach</x:v>
      </x:c>
      <x:c r="K6" t="n">
        <x:f>COUNTIF(R9:R78,"W PASMIE")</x:f>
        <x:v>66</x:v>
      </x:c>
      <x:c r="M6" t="str">
        <x:v>Propozycje nie zmieniają Katalogu kart</x:v>
      </x:c>
    </x:row>
    <x:row r="8" ht="40" customHeight="1">
      <x:c r="A8" s="186" t="str">
        <x:v>ID</x:v>
      </x:c>
      <x:c r="B8" s="186" t="str">
        <x:v>Frakcja</x:v>
      </x:c>
      <x:c r="C8" s="186" t="str">
        <x:v>Karta</x:v>
      </x:c>
      <x:c r="D8" s="186" t="str">
        <x:v>Aktywacja</x:v>
      </x:c>
      <x:c r="E8" s="186" t="str">
        <x:v>Rodzina efektu</x:v>
      </x:c>
      <x:c r="F8" s="186" t="str">
        <x:v>VALUE 0</x:v>
      </x:c>
      <x:c r="G8" s="186" t="str">
        <x:v>VALUE 3</x:v>
      </x:c>
      <x:c r="H8" s="186" t="str">
        <x:v>SUMA V0+V3</x:v>
      </x:c>
      <x:c r="I8" s="186" t="str">
        <x:v>Różnica do celu</x:v>
      </x:c>
      <x:c r="J8" s="186" t="str">
        <x:v>Odchylenie %</x:v>
      </x:c>
      <x:c r="K8" s="186" t="str">
        <x:v>Ocena</x:v>
      </x:c>
      <x:c r="L8" s="186" t="str">
        <x:v>Korekta wartości</x:v>
      </x:c>
      <x:c r="M8" s="186" t="str">
        <x:v>Rekomendacja</x:v>
      </x:c>
      <x:c r="N8" s="190" t="str">
        <x:v>ATK bazowe — propozycja</x:v>
      </x:c>
      <x:c r="O8" s="190" t="str">
        <x:v>HP bazowe — propozycja</x:v>
      </x:c>
      <x:c r="P8" s="190" t="str">
        <x:v>Nowa SUMA przy korekcie</x:v>
      </x:c>
      <x:c r="Q8" s="190" t="str">
        <x:v>Nowe odchylenie</x:v>
      </x:c>
      <x:c r="R8" s="190" t="str">
        <x:v>Rekomendacja</x:v>
      </x:c>
    </x:row>
    <x:row r="9" ht="25" customHeight="1">
      <x:c r="A9" t="str">
        <x:f>'Balans — VP3'!A22</x:f>
        <x:v>S01</x:v>
      </x:c>
      <x:c r="B9" t="str">
        <x:f>'Balans — VP3'!B22</x:f>
        <x:v>Elfy</x:v>
      </x:c>
      <x:c r="C9" t="str">
        <x:f>'Balans — VP3'!C22</x:f>
        <x:v>Mag Zorzy</x:v>
      </x:c>
      <x:c r="D9" t="str">
        <x:f>'Balans — VP3'!D22</x:f>
        <x:v>Przy wystawieniu</x:v>
      </x:c>
      <x:c r="E9" t="str">
        <x:f>'Balans — VP3'!E22</x:f>
        <x:v>Obrażenia</x:v>
      </x:c>
      <x:c r="F9" s="180" t="n">
        <x:f>'Balans — VP3'!P22</x:f>
        <x:v>5.8</x:v>
      </x:c>
      <x:c r="G9" s="180" t="n">
        <x:f>'Balans — VP3'!Q22</x:f>
        <x:v>11.15</x:v>
      </x:c>
      <x:c r="H9" s="180" t="n">
        <x:f>F9+G9</x:f>
        <x:v>16.95</x:v>
      </x:c>
      <x:c r="I9" s="180" t="n">
        <x:f>H9-$A$6</x:f>
        <x:v>-3.0749999999999993</x:v>
      </x:c>
      <x:c r="J9" s="181" t="n">
        <x:f>IFERROR(I9/$A$6,0)</x:f>
        <x:v>-0.15355805243445692</x:v>
      </x:c>
      <x:c r="K9" t="str">
        <x:f>IF(J9&gt;$B$6,"ZA MOCNA",IF(J9&lt;-$B$6,"ZA SŁABA","OK"))</x:f>
        <x:v>ZA SŁABA</x:v>
      </x:c>
      <x:c r="L9" t="n">
        <x:f>$A$6-H9</x:f>
        <x:v>3.0749999999999993</x:v>
      </x:c>
      <x:c r="M9" t="str">
        <x:f>IF(K9="OK","Bez zmian",IF(K9="ZA MOCNA","Obniż bazę lub tempo wzrostu","Podnieś bazę lub efekt"))</x:f>
        <x:v>Podnieś bazę lub efekt</x:v>
      </x:c>
      <x:c r="N9" t="n">
        <x:f>MAX(1,'Balans — VP3'!F22+MAX(-2,MIN(2,ROUND(($A$6-H9)/(2*'Balans — VP3'!$B$5),0))))</x:f>
        <x:v>3</x:v>
      </x:c>
      <x:c r="O9" t="n">
        <x:f>MAX(1,'Balans — VP3'!G22+MAX(-4,MIN(4,ROUND(($A$6-H9-(N9-'Balans — VP3'!F22)*2*'Balans — VP3'!$B$5)/(2*'Balans — VP3'!$B$6),0))))</x:f>
        <x:v>3</x:v>
      </x:c>
      <x:c r="P9" s="180" t="n">
        <x:f>H9+(N9-'Balans — VP3'!F22)*2*'Balans — VP3'!$B$5+(O9-'Balans — VP3'!G22)*2*'Balans — VP3'!$B$6</x:f>
        <x:v>20.05</x:v>
      </x:c>
      <x:c r="Q9" s="181" t="n">
        <x:f>IFERROR(P9/$A$6-1,0)</x:f>
        <x:v>0.0012484394506866447</x:v>
      </x:c>
      <x:c r="R9" t="str">
        <x:f>IF(ABS(Q9)&lt;=$B$6,"W PASMIE","Korekta efektu/skalowania")</x:f>
        <x:v>W PASMIE</x:v>
      </x:c>
    </x:row>
    <x:row r="10" ht="25" customHeight="1">
      <x:c r="A10" t="str">
        <x:f>'Balans — VP3'!A23</x:f>
        <x:v>S02</x:v>
      </x:c>
      <x:c r="B10" t="str">
        <x:f>'Balans — VP3'!B23</x:f>
        <x:v>Elfy</x:v>
      </x:c>
      <x:c r="C10" t="str">
        <x:f>'Balans — VP3'!C23</x:f>
        <x:v>Kapłanka Srebrnego Blasku</x:v>
      </x:c>
      <x:c r="D10" t="str">
        <x:f>'Balans — VP3'!D23</x:f>
        <x:v>Przy wystawieniu</x:v>
      </x:c>
      <x:c r="E10" t="str">
        <x:f>'Balans — VP3'!E23</x:f>
        <x:v>Leczenie</x:v>
      </x:c>
      <x:c r="F10" s="180" t="n">
        <x:f>'Balans — VP3'!P23</x:f>
        <x:v>8.25</x:v>
      </x:c>
      <x:c r="G10" s="180" t="n">
        <x:f>'Balans — VP3'!Q23</x:f>
        <x:v>11.7</x:v>
      </x:c>
      <x:c r="H10" s="180" t="n">
        <x:f>F10+G10</x:f>
        <x:v>19.95</x:v>
      </x:c>
      <x:c r="I10" s="180" t="n">
        <x:f>H10-$A$6</x:f>
        <x:v>-0.07499999999999929</x:v>
      </x:c>
      <x:c r="J10" s="181" t="n">
        <x:f>IFERROR(I10/$A$6,0)</x:f>
        <x:v>-0.00374531835205989</x:v>
      </x:c>
      <x:c r="K10" t="str">
        <x:f>IF(J10&gt;$B$6,"ZA MOCNA",IF(J10&lt;-$B$6,"ZA SŁABA","OK"))</x:f>
        <x:v>OK</x:v>
      </x:c>
      <x:c r="L10" t="n">
        <x:f>$A$6-H10</x:f>
        <x:v>0.07499999999999929</x:v>
      </x:c>
      <x:c r="M10" t="str">
        <x:f>IF(K10="OK","Bez zmian",IF(K10="ZA MOCNA","Obniż bazę lub tempo wzrostu","Podnieś bazę lub efekt"))</x:f>
        <x:v>Bez zmian</x:v>
      </x:c>
      <x:c r="N10" t="n">
        <x:f>MAX(1,'Balans — VP3'!F23+MAX(-2,MIN(2,ROUND(($A$6-H10)/(2*'Balans — VP3'!$B$5),0))))</x:f>
        <x:v>3</x:v>
      </x:c>
      <x:c r="O10" t="n">
        <x:f>MAX(1,'Balans — VP3'!G23+MAX(-4,MIN(4,ROUND(($A$6-H10-(N10-'Balans — VP3'!F23)*2*'Balans — VP3'!$B$5)/(2*'Balans — VP3'!$B$6),0))))</x:f>
        <x:v>5</x:v>
      </x:c>
      <x:c r="P10" s="180" t="n">
        <x:f>H10+(N10-'Balans — VP3'!F23)*2*'Balans — VP3'!$B$5+(O10-'Balans — VP3'!G23)*2*'Balans — VP3'!$B$6</x:f>
        <x:v>19.95</x:v>
      </x:c>
      <x:c r="Q10" s="181" t="n">
        <x:f>IFERROR(P10/$A$6-1,0)</x:f>
        <x:v>-0.0037453183520599342</x:v>
      </x:c>
      <x:c r="R10" t="str">
        <x:f>IF(ABS(Q10)&lt;=$B$6,"W PASMIE","Korekta efektu/skalowania")</x:f>
        <x:v>W PASMIE</x:v>
      </x:c>
    </x:row>
    <x:row r="11" ht="25" customHeight="1">
      <x:c r="A11" t="str">
        <x:f>'Balans — VP3'!A24</x:f>
        <x:v>S04</x:v>
      </x:c>
      <x:c r="B11" t="str">
        <x:f>'Balans — VP3'!B24</x:f>
        <x:v>Elfy</x:v>
      </x:c>
      <x:c r="C11" t="str">
        <x:f>'Balans — VP3'!C24</x:f>
        <x:v>Tkacz Run</x:v>
      </x:c>
      <x:c r="D11" t="str">
        <x:f>'Balans — VP3'!D24</x:f>
        <x:v>Przy wystawieniu</x:v>
      </x:c>
      <x:c r="E11" t="str">
        <x:f>'Balans — VP3'!E24</x:f>
        <x:v>ATK ±</x:v>
      </x:c>
      <x:c r="F11" s="180" t="n">
        <x:f>'Balans — VP3'!P24</x:f>
        <x:v>5.6499999999999995</x:v>
      </x:c>
      <x:c r="G11" s="180" t="n">
        <x:f>'Balans — VP3'!Q24</x:f>
        <x:v>12.600000000000001</x:v>
      </x:c>
      <x:c r="H11" s="180" t="n">
        <x:f>F11+G11</x:f>
        <x:v>18.25</x:v>
      </x:c>
      <x:c r="I11" s="180" t="n">
        <x:f>H11-$A$6</x:f>
        <x:v>-1.7749999999999986</x:v>
      </x:c>
      <x:c r="J11" s="181" t="n">
        <x:f>IFERROR(I11/$A$6,0)</x:f>
        <x:v>-0.0886392009987515</x:v>
      </x:c>
      <x:c r="K11" t="str">
        <x:f>IF(J11&gt;$B$6,"ZA MOCNA",IF(J11&lt;-$B$6,"ZA SŁABA","OK"))</x:f>
        <x:v>OK</x:v>
      </x:c>
      <x:c r="L11" t="n">
        <x:f>$A$6-H11</x:f>
        <x:v>1.7749999999999986</x:v>
      </x:c>
      <x:c r="M11" t="str">
        <x:f>IF(K11="OK","Bez zmian",IF(K11="ZA MOCNA","Obniż bazę lub tempo wzrostu","Podnieś bazę lub efekt"))</x:f>
        <x:v>Bez zmian</x:v>
      </x:c>
      <x:c r="N11" t="n">
        <x:f>MAX(1,'Balans — VP3'!F24+MAX(-2,MIN(2,ROUND(($A$6-H11)/(2*'Balans — VP3'!$B$5),0))))</x:f>
        <x:v>2</x:v>
      </x:c>
      <x:c r="O11" t="n">
        <x:f>MAX(1,'Balans — VP3'!G24+MAX(-4,MIN(4,ROUND(($A$6-H11-(N11-'Balans — VP3'!F24)*2*'Balans — VP3'!$B$5)/(2*'Balans — VP3'!$B$6),0))))</x:f>
        <x:v>4</x:v>
      </x:c>
      <x:c r="P11" s="180" t="n">
        <x:f>H11+(N11-'Balans — VP3'!F24)*2*'Balans — VP3'!$B$5+(O11-'Balans — VP3'!G24)*2*'Balans — VP3'!$B$6</x:f>
        <x:v>20.25</x:v>
      </x:c>
      <x:c r="Q11" s="181" t="n">
        <x:f>IFERROR(P11/$A$6-1,0)</x:f>
        <x:v>0.011235955056179803</x:v>
      </x:c>
      <x:c r="R11" t="str">
        <x:f>IF(ABS(Q11)&lt;=$B$6,"W PASMIE","Korekta efektu/skalowania")</x:f>
        <x:v>W PASMIE</x:v>
      </x:c>
    </x:row>
    <x:row r="12" ht="25" customHeight="1">
      <x:c r="A12" t="str">
        <x:f>'Balans — VP3'!A25</x:f>
        <x:v>S08</x:v>
      </x:c>
      <x:c r="B12" t="str">
        <x:f>'Balans — VP3'!B25</x:f>
        <x:v>Elfy</x:v>
      </x:c>
      <x:c r="C12" t="str">
        <x:f>'Balans — VP3'!C25</x:f>
        <x:v>Mag Tkanki Życia</x:v>
      </x:c>
      <x:c r="D12" t="str">
        <x:f>'Balans — VP3'!D25</x:f>
        <x:v>Przy wystawieniu</x:v>
      </x:c>
      <x:c r="E12" t="str">
        <x:f>'Balans — VP3'!E25</x:f>
        <x:v>MAX HP ±</x:v>
      </x:c>
      <x:c r="F12" s="180" t="n">
        <x:f>'Balans — VP3'!P25</x:f>
        <x:v>7.3500000000000005</x:v>
      </x:c>
      <x:c r="G12" s="180" t="n">
        <x:f>'Balans — VP3'!Q25</x:f>
        <x:v>10.600000000000001</x:v>
      </x:c>
      <x:c r="H12" s="180" t="n">
        <x:f>F12+G12</x:f>
        <x:v>17.950000000000003</x:v>
      </x:c>
      <x:c r="I12" s="180" t="n">
        <x:f>H12-$A$6</x:f>
        <x:v>-2.0749999999999957</x:v>
      </x:c>
      <x:c r="J12" s="181" t="n">
        <x:f>IFERROR(I12/$A$6,0)</x:f>
        <x:v>-0.10362047440699106</x:v>
      </x:c>
      <x:c r="K12" t="str">
        <x:f>IF(J12&gt;$B$6,"ZA MOCNA",IF(J12&lt;-$B$6,"ZA SŁABA","OK"))</x:f>
        <x:v>OK</x:v>
      </x:c>
      <x:c r="L12" t="n">
        <x:f>$A$6-H12</x:f>
        <x:v>2.0749999999999957</x:v>
      </x:c>
      <x:c r="M12" t="str">
        <x:f>IF(K12="OK","Bez zmian",IF(K12="ZA MOCNA","Obniż bazę lub tempo wzrostu","Podnieś bazę lub efekt"))</x:f>
        <x:v>Bez zmian</x:v>
      </x:c>
      <x:c r="N12" t="n">
        <x:f>MAX(1,'Balans — VP3'!F25+MAX(-2,MIN(2,ROUND(($A$6-H12)/(2*'Balans — VP3'!$B$5),0))))</x:f>
        <x:v>3</x:v>
      </x:c>
      <x:c r="O12" t="n">
        <x:f>MAX(1,'Balans — VP3'!G25+MAX(-4,MIN(4,ROUND(($A$6-H12-(N12-'Balans — VP3'!F25)*2*'Balans — VP3'!$B$5)/(2*'Balans — VP3'!$B$6),0))))</x:f>
        <x:v>7</x:v>
      </x:c>
      <x:c r="P12" s="180" t="n">
        <x:f>H12+(N12-'Balans — VP3'!F25)*2*'Balans — VP3'!$B$5+(O12-'Balans — VP3'!G25)*2*'Balans — VP3'!$B$6</x:f>
        <x:v>19.950000000000003</x:v>
      </x:c>
      <x:c r="Q12" s="181" t="n">
        <x:f>IFERROR(P12/$A$6-1,0)</x:f>
        <x:v>-0.003745318352059712</x:v>
      </x:c>
      <x:c r="R12" t="str">
        <x:f>IF(ABS(Q12)&lt;=$B$6,"W PASMIE","Korekta efektu/skalowania")</x:f>
        <x:v>W PASMIE</x:v>
      </x:c>
    </x:row>
    <x:row r="13" ht="25" customHeight="1">
      <x:c r="A13" t="str">
        <x:f>'Balans — VP3'!A26</x:f>
        <x:v>S03</x:v>
      </x:c>
      <x:c r="B13" t="str">
        <x:f>'Balans — VP3'!B26</x:f>
        <x:v>Elfy</x:v>
      </x:c>
      <x:c r="C13" t="str">
        <x:f>'Balans — VP3'!C26</x:f>
        <x:v>Zaklinacz Runicznej Zbroi</x:v>
      </x:c>
      <x:c r="D13" t="str">
        <x:f>'Balans — VP3'!D26</x:f>
        <x:v>Przy wystawieniu</x:v>
      </x:c>
      <x:c r="E13" t="str">
        <x:f>'Balans — VP3'!E26</x:f>
        <x:v>Pancerz</x:v>
      </x:c>
      <x:c r="F13" s="180" t="n">
        <x:f>'Balans — VP3'!P26</x:f>
        <x:v>7.75</x:v>
      </x:c>
      <x:c r="G13" s="180" t="n">
        <x:f>'Balans — VP3'!Q26</x:f>
        <x:v>11.100000000000001</x:v>
      </x:c>
      <x:c r="H13" s="180" t="n">
        <x:f>F13+G13</x:f>
        <x:v>18.85</x:v>
      </x:c>
      <x:c r="I13" s="180" t="n">
        <x:f>H13-$A$6</x:f>
        <x:v>-1.1749999999999972</x:v>
      </x:c>
      <x:c r="J13" s="181" t="n">
        <x:f>IFERROR(I13/$A$6,0)</x:f>
        <x:v>-0.05867665418227202</x:v>
      </x:c>
      <x:c r="K13" t="str">
        <x:f>IF(J13&gt;$B$6,"ZA MOCNA",IF(J13&lt;-$B$6,"ZA SŁABA","OK"))</x:f>
        <x:v>OK</x:v>
      </x:c>
      <x:c r="L13" t="n">
        <x:f>$A$6-H13</x:f>
        <x:v>1.1749999999999972</x:v>
      </x:c>
      <x:c r="M13" t="str">
        <x:f>IF(K13="OK","Bez zmian",IF(K13="ZA MOCNA","Obniż bazę lub tempo wzrostu","Podnieś bazę lub efekt"))</x:f>
        <x:v>Bez zmian</x:v>
      </x:c>
      <x:c r="N13" t="n">
        <x:f>MAX(1,'Balans — VP3'!F26+MAX(-2,MIN(2,ROUND(($A$6-H13)/(2*'Balans — VP3'!$B$5),0))))</x:f>
        <x:v>3</x:v>
      </x:c>
      <x:c r="O13" t="n">
        <x:f>MAX(1,'Balans — VP3'!G26+MAX(-4,MIN(4,ROUND(($A$6-H13-(N13-'Balans — VP3'!F26)*2*'Balans — VP3'!$B$5)/(2*'Balans — VP3'!$B$6),0))))</x:f>
        <x:v>6</x:v>
      </x:c>
      <x:c r="P13" s="180" t="n">
        <x:f>H13+(N13-'Balans — VP3'!F26)*2*'Balans — VP3'!$B$5+(O13-'Balans — VP3'!G26)*2*'Balans — VP3'!$B$6</x:f>
        <x:v>19.950000000000003</x:v>
      </x:c>
      <x:c r="Q13" s="181" t="n">
        <x:f>IFERROR(P13/$A$6-1,0)</x:f>
        <x:v>-0.003745318352059712</x:v>
      </x:c>
      <x:c r="R13" t="str">
        <x:f>IF(ABS(Q13)&lt;=$B$6,"W PASMIE","Korekta efektu/skalowania")</x:f>
        <x:v>W PASMIE</x:v>
      </x:c>
    </x:row>
    <x:row r="14" ht="25" customHeight="1">
      <x:c r="A14" t="str">
        <x:f>'Balans — VP3'!A27</x:f>
        <x:v>S05</x:v>
      </x:c>
      <x:c r="B14" t="str">
        <x:f>'Balans — VP3'!B27</x:f>
        <x:v>Elfy</x:v>
      </x:c>
      <x:c r="C14" t="str">
        <x:f>'Balans — VP3'!C27</x:f>
        <x:v>Strażniczka Księżycowej Pieczęci</x:v>
      </x:c>
      <x:c r="D14" t="str">
        <x:f>'Balans — VP3'!D27</x:f>
        <x:v>Przy wystawieniu</x:v>
      </x:c>
      <x:c r="E14" t="str">
        <x:f>'Balans — VP3'!E27</x:f>
        <x:v>Tarcza</x:v>
      </x:c>
      <x:c r="F14" s="180" t="n">
        <x:f>'Balans — VP3'!P27</x:f>
        <x:v>8.7</x:v>
      </x:c>
      <x:c r="G14" s="180" t="n">
        <x:f>'Balans — VP3'!Q27</x:f>
        <x:v>12.75</x:v>
      </x:c>
      <x:c r="H14" s="180" t="n">
        <x:f>F14+G14</x:f>
        <x:v>21.45</x:v>
      </x:c>
      <x:c r="I14" s="180" t="n">
        <x:f>H14-$A$6</x:f>
        <x:v>1.4250000000000007</x:v>
      </x:c>
      <x:c r="J14" s="181" t="n">
        <x:f>IFERROR(I14/$A$6,0)</x:f>
        <x:v>0.07116104868913861</x:v>
      </x:c>
      <x:c r="K14" t="str">
        <x:f>IF(J14&gt;$B$6,"ZA MOCNA",IF(J14&lt;-$B$6,"ZA SŁABA","OK"))</x:f>
        <x:v>OK</x:v>
      </x:c>
      <x:c r="L14" t="n">
        <x:f>$A$6-H14</x:f>
        <x:v>-1.4250000000000007</x:v>
      </x:c>
      <x:c r="M14" t="str">
        <x:f>IF(K14="OK","Bez zmian",IF(K14="ZA MOCNA","Obniż bazę lub tempo wzrostu","Podnieś bazę lub efekt"))</x:f>
        <x:v>Bez zmian</x:v>
      </x:c>
      <x:c r="N14" t="n">
        <x:f>MAX(1,'Balans — VP3'!F27+MAX(-2,MIN(2,ROUND(($A$6-H14)/(2*'Balans — VP3'!$B$5),0))))</x:f>
        <x:v>2</x:v>
      </x:c>
      <x:c r="O14" t="n">
        <x:f>MAX(1,'Balans — VP3'!G27+MAX(-4,MIN(4,ROUND(($A$6-H14-(N14-'Balans — VP3'!F27)*2*'Balans — VP3'!$B$5)/(2*'Balans — VP3'!$B$6),0))))</x:f>
        <x:v>7</x:v>
      </x:c>
      <x:c r="P14" s="180" t="n">
        <x:f>H14+(N14-'Balans — VP3'!F27)*2*'Balans — VP3'!$B$5+(O14-'Balans — VP3'!G27)*2*'Balans — VP3'!$B$6</x:f>
        <x:v>20.349999999999998</x:v>
      </x:c>
      <x:c r="Q14" s="181" t="n">
        <x:f>IFERROR(P14/$A$6-1,0)</x:f>
        <x:v>0.01622971285892638</x:v>
      </x:c>
      <x:c r="R14" t="str">
        <x:f>IF(ABS(Q14)&lt;=$B$6,"W PASMIE","Korekta efektu/skalowania")</x:f>
        <x:v>W PASMIE</x:v>
      </x:c>
    </x:row>
    <x:row r="15" ht="25" customHeight="1">
      <x:c r="A15" t="str">
        <x:f>'Balans — VP3'!A28</x:f>
        <x:v>S58</x:v>
      </x:c>
      <x:c r="B15" t="str">
        <x:f>'Balans — VP3'!B28</x:f>
        <x:v>Elfy</x:v>
      </x:c>
      <x:c r="C15" t="str">
        <x:f>'Balans — VP3'!C28</x:f>
        <x:v>Alchemik Jadowych Korzeni</x:v>
      </x:c>
      <x:c r="D15" t="str">
        <x:f>'Balans — VP3'!D28</x:f>
        <x:v>Przy wystawieniu</x:v>
      </x:c>
      <x:c r="E15" t="str">
        <x:f>'Balans — VP3'!E28</x:f>
        <x:v>Trucizna</x:v>
      </x:c>
      <x:c r="F15" s="180" t="n">
        <x:f>'Balans — VP3'!P28</x:f>
        <x:v>6.25</x:v>
      </x:c>
      <x:c r="G15" s="180" t="n">
        <x:f>'Balans — VP3'!Q28</x:f>
        <x:v>13.75</x:v>
      </x:c>
      <x:c r="H15" s="180" t="n">
        <x:f>F15+G15</x:f>
        <x:v>20</x:v>
      </x:c>
      <x:c r="I15" s="180" t="n">
        <x:f>H15-$A$6</x:f>
        <x:v>-0.02499999999999858</x:v>
      </x:c>
      <x:c r="J15" s="181" t="n">
        <x:f>IFERROR(I15/$A$6,0)</x:f>
        <x:v>-0.0012484394506865708</x:v>
      </x:c>
      <x:c r="K15" t="str">
        <x:f>IF(J15&gt;$B$6,"ZA MOCNA",IF(J15&lt;-$B$6,"ZA SŁABA","OK"))</x:f>
        <x:v>OK</x:v>
      </x:c>
      <x:c r="L15" t="n">
        <x:f>$A$6-H15</x:f>
        <x:v>0.02499999999999858</x:v>
      </x:c>
      <x:c r="M15" t="str">
        <x:f>IF(K15="OK","Bez zmian",IF(K15="ZA MOCNA","Obniż bazę lub tempo wzrostu","Podnieś bazę lub efekt"))</x:f>
        <x:v>Bez zmian</x:v>
      </x:c>
      <x:c r="N15" t="n">
        <x:f>MAX(1,'Balans — VP3'!F28+MAX(-2,MIN(2,ROUND(($A$6-H15)/(2*'Balans — VP3'!$B$5),0))))</x:f>
        <x:v>1</x:v>
      </x:c>
      <x:c r="O15" t="n">
        <x:f>MAX(1,'Balans — VP3'!G28+MAX(-4,MIN(4,ROUND(($A$6-H15-(N15-'Balans — VP3'!F28)*2*'Balans — VP3'!$B$5)/(2*'Balans — VP3'!$B$6),0))))</x:f>
        <x:v>5</x:v>
      </x:c>
      <x:c r="P15" s="180" t="n">
        <x:f>H15+(N15-'Balans — VP3'!F28)*2*'Balans — VP3'!$B$5+(O15-'Balans — VP3'!G28)*2*'Balans — VP3'!$B$6</x:f>
        <x:v>20</x:v>
      </x:c>
      <x:c r="Q15" s="181" t="n">
        <x:f>IFERROR(P15/$A$6-1,0)</x:f>
        <x:v>-0.0012484394506865337</x:v>
      </x:c>
      <x:c r="R15" t="str">
        <x:f>IF(ABS(Q15)&lt;=$B$6,"W PASMIE","Korekta efektu/skalowania")</x:f>
        <x:v>W PASMIE</x:v>
      </x:c>
    </x:row>
    <x:row r="16" ht="25" customHeight="1">
      <x:c r="A16" t="str">
        <x:f>'Balans — VP3'!A29</x:f>
        <x:v>S59</x:v>
      </x:c>
      <x:c r="B16" t="str">
        <x:f>'Balans — VP3'!B29</x:f>
        <x:v>Elfy</x:v>
      </x:c>
      <x:c r="C16" t="str">
        <x:f>'Balans — VP3'!C29</x:f>
        <x:v>Tkaczka Uśpienia</x:v>
      </x:c>
      <x:c r="D16" t="str">
        <x:f>'Balans — VP3'!D29</x:f>
        <x:v>Przy wystawieniu</x:v>
      </x:c>
      <x:c r="E16" t="str">
        <x:f>'Balans — VP3'!E29</x:f>
        <x:v>Ogłuszenie</x:v>
      </x:c>
      <x:c r="F16" s="180" t="n">
        <x:f>'Balans — VP3'!P29</x:f>
        <x:v>6.2</x:v>
      </x:c>
      <x:c r="G16" s="180" t="n">
        <x:f>'Balans — VP3'!Q29</x:f>
        <x:v>13.05</x:v>
      </x:c>
      <x:c r="H16" s="180" t="n">
        <x:f>F16+G16</x:f>
        <x:v>19.25</x:v>
      </x:c>
      <x:c r="I16" s="180" t="n">
        <x:f>H16-$A$6</x:f>
        <x:v>-0.7749999999999986</x:v>
      </x:c>
      <x:c r="J16" s="181" t="n">
        <x:f>IFERROR(I16/$A$6,0)</x:f>
        <x:v>-0.03870162297128583</x:v>
      </x:c>
      <x:c r="K16" t="str">
        <x:f>IF(J16&gt;$B$6,"ZA MOCNA",IF(J16&lt;-$B$6,"ZA SŁABA","OK"))</x:f>
        <x:v>OK</x:v>
      </x:c>
      <x:c r="L16" t="n">
        <x:f>$A$6-H16</x:f>
        <x:v>0.7749999999999986</x:v>
      </x:c>
      <x:c r="M16" t="str">
        <x:f>IF(K16="OK","Bez zmian",IF(K16="ZA MOCNA","Obniż bazę lub tempo wzrostu","Podnieś bazę lub efekt"))</x:f>
        <x:v>Bez zmian</x:v>
      </x:c>
      <x:c r="N16" t="n">
        <x:f>MAX(1,'Balans — VP3'!F29+MAX(-2,MIN(2,ROUND(($A$6-H16)/(2*'Balans — VP3'!$B$5),0))))</x:f>
        <x:v>1</x:v>
      </x:c>
      <x:c r="O16" t="n">
        <x:f>MAX(1,'Balans — VP3'!G29+MAX(-4,MIN(4,ROUND(($A$6-H16-(N16-'Balans — VP3'!F29)*2*'Balans — VP3'!$B$5)/(2*'Balans — VP3'!$B$6),0))))</x:f>
        <x:v>7</x:v>
      </x:c>
      <x:c r="P16" s="180" t="n">
        <x:f>H16+(N16-'Balans — VP3'!F29)*2*'Balans — VP3'!$B$5+(O16-'Balans — VP3'!G29)*2*'Balans — VP3'!$B$6</x:f>
        <x:v>20.15</x:v>
      </x:c>
      <x:c r="Q16" s="181" t="n">
        <x:f>IFERROR(P16/$A$6-1,0)</x:f>
        <x:v>0.006242197253433224</x:v>
      </x:c>
      <x:c r="R16" t="str">
        <x:f>IF(ABS(Q16)&lt;=$B$6,"W PASMIE","Korekta efektu/skalowania")</x:f>
        <x:v>W PASMIE</x:v>
      </x:c>
    </x:row>
    <x:row r="17" ht="25" customHeight="1">
      <x:c r="A17" t="str">
        <x:f>'Balans — VP3'!A30</x:f>
        <x:v>S60</x:v>
      </x:c>
      <x:c r="B17" t="str">
        <x:f>'Balans — VP3'!B30</x:f>
        <x:v>Elfy</x:v>
      </x:c>
      <x:c r="C17" t="str">
        <x:f>'Balans — VP3'!C30</x:f>
        <x:v>Druid Odnowy</x:v>
      </x:c>
      <x:c r="D17" t="str">
        <x:f>'Balans — VP3'!D30</x:f>
        <x:v>Przy wystawieniu</x:v>
      </x:c>
      <x:c r="E17" t="str">
        <x:f>'Balans — VP3'!E30</x:f>
        <x:v>Regeneracja</x:v>
      </x:c>
      <x:c r="F17" s="180" t="n">
        <x:f>'Balans — VP3'!P30</x:f>
        <x:v>8.25</x:v>
      </x:c>
      <x:c r="G17" s="180" t="n">
        <x:f>'Balans — VP3'!Q30</x:f>
        <x:v>11.8</x:v>
      </x:c>
      <x:c r="H17" s="180" t="n">
        <x:f>F17+G17</x:f>
        <x:v>20.05</x:v>
      </x:c>
      <x:c r="I17" s="180" t="n">
        <x:f>H17-$A$6</x:f>
        <x:v>0.02500000000000213</x:v>
      </x:c>
      <x:c r="J17" s="181" t="n">
        <x:f>IFERROR(I17/$A$6,0)</x:f>
        <x:v>0.0012484394506867482</x:v>
      </x:c>
      <x:c r="K17" t="str">
        <x:f>IF(J17&gt;$B$6,"ZA MOCNA",IF(J17&lt;-$B$6,"ZA SŁABA","OK"))</x:f>
        <x:v>OK</x:v>
      </x:c>
      <x:c r="L17" t="n">
        <x:f>$A$6-H17</x:f>
        <x:v>-0.02500000000000213</x:v>
      </x:c>
      <x:c r="M17" t="str">
        <x:f>IF(K17="OK","Bez zmian",IF(K17="ZA MOCNA","Obniż bazę lub tempo wzrostu","Podnieś bazę lub efekt"))</x:f>
        <x:v>Bez zmian</x:v>
      </x:c>
      <x:c r="N17" t="n">
        <x:f>MAX(1,'Balans — VP3'!F30+MAX(-2,MIN(2,ROUND(($A$6-H17)/(2*'Balans — VP3'!$B$5),0))))</x:f>
        <x:v>3</x:v>
      </x:c>
      <x:c r="O17" t="n">
        <x:f>MAX(1,'Balans — VP3'!G30+MAX(-4,MIN(4,ROUND(($A$6-H17-(N17-'Balans — VP3'!F30)*2*'Balans — VP3'!$B$5)/(2*'Balans — VP3'!$B$6),0))))</x:f>
        <x:v>6</x:v>
      </x:c>
      <x:c r="P17" s="180" t="n">
        <x:f>H17+(N17-'Balans — VP3'!F30)*2*'Balans — VP3'!$B$5+(O17-'Balans — VP3'!G30)*2*'Balans — VP3'!$B$6</x:f>
        <x:v>20.05</x:v>
      </x:c>
      <x:c r="Q17" s="181" t="n">
        <x:f>IFERROR(P17/$A$6-1,0)</x:f>
        <x:v>0.0012484394506866447</x:v>
      </x:c>
      <x:c r="R17" t="str">
        <x:f>IF(ABS(Q17)&lt;=$B$6,"W PASMIE","Korekta efektu/skalowania")</x:f>
        <x:v>W PASMIE</x:v>
      </x:c>
    </x:row>
    <x:row r="18" ht="25" customHeight="1">
      <x:c r="A18" t="str">
        <x:f>'Balans — VP3'!A31</x:f>
        <x:v>S61</x:v>
      </x:c>
      <x:c r="B18" t="str">
        <x:f>'Balans — VP3'!B31</x:f>
        <x:v>Elfy</x:v>
      </x:c>
      <x:c r="C18" t="str">
        <x:f>'Balans — VP3'!C31</x:f>
        <x:v>Władczyni Leśnych Więzów</x:v>
      </x:c>
      <x:c r="D18" t="str">
        <x:f>'Balans — VP3'!D31</x:f>
        <x:v>Przy wystawieniu</x:v>
      </x:c>
      <x:c r="E18" t="str">
        <x:f>'Balans — VP3'!E31</x:f>
        <x:v>Prowokacja</x:v>
      </x:c>
      <x:c r="F18" s="180" t="n">
        <x:f>'Balans — VP3'!P31</x:f>
        <x:v>8.55</x:v>
      </x:c>
      <x:c r="G18" s="180" t="n">
        <x:f>'Balans — VP3'!Q31</x:f>
        <x:v>12.6</x:v>
      </x:c>
      <x:c r="H18" s="180" t="n">
        <x:f>F18+G18</x:f>
        <x:v>21.15</x:v>
      </x:c>
      <x:c r="I18" s="180" t="n">
        <x:f>H18-$A$6</x:f>
        <x:v>1.125</x:v>
      </x:c>
      <x:c r="J18" s="181" t="n">
        <x:f>IFERROR(I18/$A$6,0)</x:f>
        <x:v>0.05617977528089888</x:v>
      </x:c>
      <x:c r="K18" t="str">
        <x:f>IF(J18&gt;$B$6,"ZA MOCNA",IF(J18&lt;-$B$6,"ZA SŁABA","OK"))</x:f>
        <x:v>OK</x:v>
      </x:c>
      <x:c r="L18" t="n">
        <x:f>$A$6-H18</x:f>
        <x:v>-1.125</x:v>
      </x:c>
      <x:c r="M18" t="str">
        <x:f>IF(K18="OK","Bez zmian",IF(K18="ZA MOCNA","Obniż bazę lub tempo wzrostu","Podnieś bazę lub efekt"))</x:f>
        <x:v>Bez zmian</x:v>
      </x:c>
      <x:c r="N18" t="n">
        <x:f>MAX(1,'Balans — VP3'!F31+MAX(-2,MIN(2,ROUND(($A$6-H18)/(2*'Balans — VP3'!$B$5),0))))</x:f>
        <x:v>2</x:v>
      </x:c>
      <x:c r="O18" t="n">
        <x:f>MAX(1,'Balans — VP3'!G31+MAX(-4,MIN(4,ROUND(($A$6-H18-(N18-'Balans — VP3'!F31)*2*'Balans — VP3'!$B$5)/(2*'Balans — VP3'!$B$6),0))))</x:f>
        <x:v>8</x:v>
      </x:c>
      <x:c r="P18" s="180" t="n">
        <x:f>H18+(N18-'Balans — VP3'!F31)*2*'Balans — VP3'!$B$5+(O18-'Balans — VP3'!G31)*2*'Balans — VP3'!$B$6</x:f>
        <x:v>20.049999999999997</x:v>
      </x:c>
      <x:c r="Q18" s="181" t="n">
        <x:f>IFERROR(P18/$A$6-1,0)</x:f>
        <x:v>0.0012484394506866447</x:v>
      </x:c>
      <x:c r="R18" t="str">
        <x:f>IF(ABS(Q18)&lt;=$B$6,"W PASMIE","Korekta efektu/skalowania")</x:f>
        <x:v>W PASMIE</x:v>
      </x:c>
    </x:row>
    <x:row r="19" ht="25" customHeight="1">
      <x:c r="A19" t="str">
        <x:f>'Balans — VP3'!A32</x:f>
        <x:v>S07</x:v>
      </x:c>
      <x:c r="B19" t="str">
        <x:f>'Balans — VP3'!B32</x:f>
        <x:v>Elfy</x:v>
      </x:c>
      <x:c r="C19" t="str">
        <x:f>'Balans — VP3'!C32</x:f>
        <x:v>Kapłanka Oczyszczenia</x:v>
      </x:c>
      <x:c r="D19" t="str">
        <x:f>'Balans — VP3'!D32</x:f>
        <x:v>Przy wystawieniu</x:v>
      </x:c>
      <x:c r="E19" t="str">
        <x:f>'Balans — VP3'!E32</x:f>
        <x:v>Oczyszczanie</x:v>
      </x:c>
      <x:c r="F19" s="180" t="n">
        <x:f>'Balans — VP3'!P32</x:f>
        <x:v>6.4</x:v>
      </x:c>
      <x:c r="G19" s="180" t="n">
        <x:f>'Balans — VP3'!Q32</x:f>
        <x:v>12.450000000000001</x:v>
      </x:c>
      <x:c r="H19" s="180" t="n">
        <x:f>F19+G19</x:f>
        <x:v>18.85</x:v>
      </x:c>
      <x:c r="I19" s="180" t="n">
        <x:f>H19-$A$6</x:f>
        <x:v>-1.1749999999999972</x:v>
      </x:c>
      <x:c r="J19" s="181" t="n">
        <x:f>IFERROR(I19/$A$6,0)</x:f>
        <x:v>-0.05867665418227202</x:v>
      </x:c>
      <x:c r="K19" t="str">
        <x:f>IF(J19&gt;$B$6,"ZA MOCNA",IF(J19&lt;-$B$6,"ZA SŁABA","OK"))</x:f>
        <x:v>OK</x:v>
      </x:c>
      <x:c r="L19" t="n">
        <x:f>$A$6-H19</x:f>
        <x:v>1.1749999999999972</x:v>
      </x:c>
      <x:c r="M19" t="str">
        <x:f>IF(K19="OK","Bez zmian",IF(K19="ZA MOCNA","Obniż bazę lub tempo wzrostu","Podnieś bazę lub efekt"))</x:f>
        <x:v>Bez zmian</x:v>
      </x:c>
      <x:c r="N19" t="n">
        <x:f>MAX(1,'Balans — VP3'!F32+MAX(-2,MIN(2,ROUND(($A$6-H19)/(2*'Balans — VP3'!$B$5),0))))</x:f>
        <x:v>3</x:v>
      </x:c>
      <x:c r="O19" t="n">
        <x:f>MAX(1,'Balans — VP3'!G32+MAX(-4,MIN(4,ROUND(($A$6-H19-(N19-'Balans — VP3'!F32)*2*'Balans — VP3'!$B$5)/(2*'Balans — VP3'!$B$6),0))))</x:f>
        <x:v>5</x:v>
      </x:c>
      <x:c r="P19" s="180" t="n">
        <x:f>H19+(N19-'Balans — VP3'!F32)*2*'Balans — VP3'!$B$5+(O19-'Balans — VP3'!G32)*2*'Balans — VP3'!$B$6</x:f>
        <x:v>19.950000000000003</x:v>
      </x:c>
      <x:c r="Q19" s="181" t="n">
        <x:f>IFERROR(P19/$A$6-1,0)</x:f>
        <x:v>-0.003745318352059712</x:v>
      </x:c>
      <x:c r="R19" t="str">
        <x:f>IF(ABS(Q19)&lt;=$B$6,"W PASMIE","Korekta efektu/skalowania")</x:f>
        <x:v>W PASMIE</x:v>
      </x:c>
    </x:row>
    <x:row r="20" ht="25" customHeight="1">
      <x:c r="A20" t="str">
        <x:f>'Balans — VP3'!A33</x:f>
        <x:v>S64</x:v>
      </x:c>
      <x:c r="B20" t="str">
        <x:f>'Balans — VP3'!B33</x:f>
        <x:v>Elfy</x:v>
      </x:c>
      <x:c r="C20" t="str">
        <x:f>'Balans — VP3'!C33</x:f>
        <x:v>Strażnik Zaklęć Ochronnych</x:v>
      </x:c>
      <x:c r="D20" t="str">
        <x:f>'Balans — VP3'!D33</x:f>
        <x:v>Przy wystawieniu</x:v>
      </x:c>
      <x:c r="E20" t="str">
        <x:f>'Balans — VP3'!E33</x:f>
        <x:v>Odporność</x:v>
      </x:c>
      <x:c r="F20" s="180" t="n">
        <x:f>'Balans — VP3'!P33</x:f>
        <x:v>8.1</x:v>
      </x:c>
      <x:c r="G20" s="180" t="n">
        <x:f>'Balans — VP3'!Q33</x:f>
        <x:v>12.2</x:v>
      </x:c>
      <x:c r="H20" s="180" t="n">
        <x:f>F20+G20</x:f>
        <x:v>20.299999999999997</x:v>
      </x:c>
      <x:c r="I20" s="180" t="n">
        <x:f>H20-$A$6</x:f>
        <x:v>0.2749999999999986</x:v>
      </x:c>
      <x:c r="J20" s="181" t="n">
        <x:f>IFERROR(I20/$A$6,0)</x:f>
        <x:v>0.013732833957552988</x:v>
      </x:c>
      <x:c r="K20" t="str">
        <x:f>IF(J20&gt;$B$6,"ZA MOCNA",IF(J20&lt;-$B$6,"ZA SŁABA","OK"))</x:f>
        <x:v>OK</x:v>
      </x:c>
      <x:c r="L20" t="n">
        <x:f>$A$6-H20</x:f>
        <x:v>-0.2749999999999986</x:v>
      </x:c>
      <x:c r="M20" t="str">
        <x:f>IF(K20="OK","Bez zmian",IF(K20="ZA MOCNA","Obniż bazę lub tempo wzrostu","Podnieś bazę lub efekt"))</x:f>
        <x:v>Bez zmian</x:v>
      </x:c>
      <x:c r="N20" t="n">
        <x:f>MAX(1,'Balans — VP3'!F33+MAX(-2,MIN(2,ROUND(($A$6-H20)/(2*'Balans — VP3'!$B$5),0))))</x:f>
        <x:v>4</x:v>
      </x:c>
      <x:c r="O20" t="n">
        <x:f>MAX(1,'Balans — VP3'!G33+MAX(-4,MIN(4,ROUND(($A$6-H20-(N20-'Balans — VP3'!F33)*2*'Balans — VP3'!$B$5)/(2*'Balans — VP3'!$B$6),0))))</x:f>
        <x:v>6</x:v>
      </x:c>
      <x:c r="P20" s="180" t="n">
        <x:f>H20+(N20-'Balans — VP3'!F33)*2*'Balans — VP3'!$B$5+(O20-'Balans — VP3'!G33)*2*'Balans — VP3'!$B$6</x:f>
        <x:v>20.299999999999997</x:v>
      </x:c>
      <x:c r="Q20" s="181" t="n">
        <x:f>IFERROR(P20/$A$6-1,0)</x:f>
        <x:v>0.013732833957553092</x:v>
      </x:c>
      <x:c r="R20" t="str">
        <x:f>IF(ABS(Q20)&lt;=$B$6,"W PASMIE","Korekta efektu/skalowania")</x:f>
        <x:v>W PASMIE</x:v>
      </x:c>
    </x:row>
    <x:row r="21" ht="25" customHeight="1">
      <x:c r="A21" t="str">
        <x:f>'Balans — VP3'!A34</x:f>
        <x:v>S66</x:v>
      </x:c>
      <x:c r="B21" t="str">
        <x:f>'Balans — VP3'!B34</x:f>
        <x:v>Elfy</x:v>
      </x:c>
      <x:c r="C21" t="str">
        <x:f>'Balans — VP3'!C34</x:f>
        <x:v>Mag Migotliwego Kroku</x:v>
      </x:c>
      <x:c r="D21" t="str">
        <x:f>'Balans — VP3'!D34</x:f>
        <x:v>Przy wystawieniu</x:v>
      </x:c>
      <x:c r="E21" t="str">
        <x:f>'Balans — VP3'!E34</x:f>
        <x:v>Szybki atak</x:v>
      </x:c>
      <x:c r="F21" s="180" t="n">
        <x:f>'Balans — VP3'!P34</x:f>
        <x:v>6.4</x:v>
      </x:c>
      <x:c r="G21" s="180" t="n">
        <x:f>'Balans — VP3'!Q34</x:f>
        <x:v>14.85</x:v>
      </x:c>
      <x:c r="H21" s="180" t="n">
        <x:f>F21+G21</x:f>
        <x:v>21.25</x:v>
      </x:c>
      <x:c r="I21" s="180" t="n">
        <x:f>H21-$A$6</x:f>
        <x:v>1.2250000000000014</x:v>
      </x:c>
      <x:c r="J21" s="181" t="n">
        <x:f>IFERROR(I21/$A$6,0)</x:f>
        <x:v>0.061173533083645516</x:v>
      </x:c>
      <x:c r="K21" t="str">
        <x:f>IF(J21&gt;$B$6,"ZA MOCNA",IF(J21&lt;-$B$6,"ZA SŁABA","OK"))</x:f>
        <x:v>OK</x:v>
      </x:c>
      <x:c r="L21" t="n">
        <x:f>$A$6-H21</x:f>
        <x:v>-1.2250000000000014</x:v>
      </x:c>
      <x:c r="M21" t="str">
        <x:f>IF(K21="OK","Bez zmian",IF(K21="ZA MOCNA","Obniż bazę lub tempo wzrostu","Podnieś bazę lub efekt"))</x:f>
        <x:v>Bez zmian</x:v>
      </x:c>
      <x:c r="N21" t="n">
        <x:f>MAX(1,'Balans — VP3'!F34+MAX(-2,MIN(2,ROUND(($A$6-H21)/(2*'Balans — VP3'!$B$5),0))))</x:f>
        <x:v>1</x:v>
      </x:c>
      <x:c r="O21" t="n">
        <x:f>MAX(1,'Balans — VP3'!G34+MAX(-4,MIN(4,ROUND(($A$6-H21-(N21-'Balans — VP3'!F34)*2*'Balans — VP3'!$B$5)/(2*'Balans — VP3'!$B$6),0))))</x:f>
        <x:v>5</x:v>
      </x:c>
      <x:c r="P21" s="180" t="n">
        <x:f>H21+(N21-'Balans — VP3'!F34)*2*'Balans — VP3'!$B$5+(O21-'Balans — VP3'!G34)*2*'Balans — VP3'!$B$6</x:f>
        <x:v>20.15</x:v>
      </x:c>
      <x:c r="Q21" s="181" t="n">
        <x:f>IFERROR(P21/$A$6-1,0)</x:f>
        <x:v>0.006242197253433224</x:v>
      </x:c>
      <x:c r="R21" t="str">
        <x:f>IF(ABS(Q21)&lt;=$B$6,"W PASMIE","Korekta efektu/skalowania")</x:f>
        <x:v>W PASMIE</x:v>
      </x:c>
    </x:row>
    <x:row r="22" ht="25" customHeight="1">
      <x:c r="A22" t="str">
        <x:f>'Balans — VP3'!A35</x:f>
        <x:v>S67</x:v>
      </x:c>
      <x:c r="B22" t="str">
        <x:f>'Balans — VP3'!B35</x:f>
        <x:v>Elfy</x:v>
      </x:c>
      <x:c r="C22" t="str">
        <x:f>'Balans — VP3'!C35</x:f>
        <x:v>Zaklinacz Podwójnego Uderzenia</x:v>
      </x:c>
      <x:c r="D22" t="str">
        <x:f>'Balans — VP3'!D35</x:f>
        <x:v>Przy wystawieniu</x:v>
      </x:c>
      <x:c r="E22" t="str">
        <x:f>'Balans — VP3'!E35</x:f>
        <x:v>Podwójny atak</x:v>
      </x:c>
      <x:c r="F22" s="180" t="n">
        <x:f>'Balans — VP3'!P35</x:f>
        <x:v>6.45</x:v>
      </x:c>
      <x:c r="G22" s="180" t="n">
        <x:f>'Balans — VP3'!Q35</x:f>
        <x:v>14.45</x:v>
      </x:c>
      <x:c r="H22" s="180" t="n">
        <x:f>F22+G22</x:f>
        <x:v>20.9</x:v>
      </x:c>
      <x:c r="I22" s="180" t="n">
        <x:f>H22-$A$6</x:f>
        <x:v>0.875</x:v>
      </x:c>
      <x:c r="J22" s="181" t="n">
        <x:f>IFERROR(I22/$A$6,0)</x:f>
        <x:v>0.04369538077403246</x:v>
      </x:c>
      <x:c r="K22" t="str">
        <x:f>IF(J22&gt;$B$6,"ZA MOCNA",IF(J22&lt;-$B$6,"ZA SŁABA","OK"))</x:f>
        <x:v>OK</x:v>
      </x:c>
      <x:c r="L22" t="n">
        <x:f>$A$6-H22</x:f>
        <x:v>-0.875</x:v>
      </x:c>
      <x:c r="M22" t="str">
        <x:f>IF(K22="OK","Bez zmian",IF(K22="ZA MOCNA","Obniż bazę lub tempo wzrostu","Podnieś bazę lub efekt"))</x:f>
        <x:v>Bez zmian</x:v>
      </x:c>
      <x:c r="N22" t="n">
        <x:f>MAX(1,'Balans — VP3'!F35+MAX(-2,MIN(2,ROUND(($A$6-H22)/(2*'Balans — VP3'!$B$5),0))))</x:f>
        <x:v>1</x:v>
      </x:c>
      <x:c r="O22" t="n">
        <x:f>MAX(1,'Balans — VP3'!G35+MAX(-4,MIN(4,ROUND(($A$6-H22-(N22-'Balans — VP3'!F35)*2*'Balans — VP3'!$B$5)/(2*'Balans — VP3'!$B$6),0))))</x:f>
        <x:v>4</x:v>
      </x:c>
      <x:c r="P22" s="180" t="n">
        <x:f>H22+(N22-'Balans — VP3'!F35)*2*'Balans — VP3'!$B$5+(O22-'Balans — VP3'!G35)*2*'Balans — VP3'!$B$6</x:f>
        <x:v>20</x:v>
      </x:c>
      <x:c r="Q22" s="181" t="n">
        <x:f>IFERROR(P22/$A$6-1,0)</x:f>
        <x:v>-0.0012484394506865337</x:v>
      </x:c>
      <x:c r="R22" t="str">
        <x:f>IF(ABS(Q22)&lt;=$B$6,"W PASMIE","Korekta efektu/skalowania")</x:f>
        <x:v>W PASMIE</x:v>
      </x:c>
    </x:row>
    <x:row r="23" ht="25" customHeight="1">
      <x:c r="A23" t="str">
        <x:f>'Balans — VP3'!A36</x:f>
        <x:v>S09</x:v>
      </x:c>
      <x:c r="B23" t="str">
        <x:f>'Balans — VP3'!B36</x:f>
        <x:v>Dzikie bestie</x:v>
      </x:c>
      <x:c r="C23" t="str">
        <x:f>'Balans — VP3'!C36</x:f>
        <x:v>Wilk Szponiasty</x:v>
      </x:c>
      <x:c r="D23" t="str">
        <x:f>'Balans — VP3'!D36</x:f>
        <x:v>Przy ataku</x:v>
      </x:c>
      <x:c r="E23" t="str">
        <x:f>'Balans — VP3'!E36</x:f>
        <x:v>Obrażenia</x:v>
      </x:c>
      <x:c r="F23" s="180" t="n">
        <x:f>'Balans — VP3'!P36</x:f>
        <x:v>5.45</x:v>
      </x:c>
      <x:c r="G23" s="180" t="n">
        <x:f>'Balans — VP3'!Q36</x:f>
        <x:v>12.65</x:v>
      </x:c>
      <x:c r="H23" s="180" t="n">
        <x:f>F23+G23</x:f>
        <x:v>18.1</x:v>
      </x:c>
      <x:c r="I23" s="180" t="n">
        <x:f>H23-$A$6</x:f>
        <x:v>-1.9249999999999972</x:v>
      </x:c>
      <x:c r="J23" s="181" t="n">
        <x:f>IFERROR(I23/$A$6,0)</x:f>
        <x:v>-0.09612983770287127</x:v>
      </x:c>
      <x:c r="K23" t="str">
        <x:f>IF(J23&gt;$B$6,"ZA MOCNA",IF(J23&lt;-$B$6,"ZA SŁABA","OK"))</x:f>
        <x:v>OK</x:v>
      </x:c>
      <x:c r="L23" t="n">
        <x:f>$A$6-H23</x:f>
        <x:v>1.9249999999999972</x:v>
      </x:c>
      <x:c r="M23" t="str">
        <x:f>IF(K23="OK","Bez zmian",IF(K23="ZA MOCNA","Obniż bazę lub tempo wzrostu","Podnieś bazę lub efekt"))</x:f>
        <x:v>Bez zmian</x:v>
      </x:c>
      <x:c r="N23" t="n">
        <x:f>MAX(1,'Balans — VP3'!F36+MAX(-2,MIN(2,ROUND(($A$6-H23)/(2*'Balans — VP3'!$B$5),0))))</x:f>
        <x:v>3</x:v>
      </x:c>
      <x:c r="O23" t="n">
        <x:f>MAX(1,'Balans — VP3'!G36+MAX(-4,MIN(4,ROUND(($A$6-H23-(N23-'Balans — VP3'!F36)*2*'Balans — VP3'!$B$5)/(2*'Balans — VP3'!$B$6),0))))</x:f>
        <x:v>5</x:v>
      </x:c>
      <x:c r="P23" s="180" t="n">
        <x:f>H23+(N23-'Balans — VP3'!F36)*2*'Balans — VP3'!$B$5+(O23-'Balans — VP3'!G36)*2*'Balans — VP3'!$B$6</x:f>
        <x:v>20.1</x:v>
      </x:c>
      <x:c r="Q23" s="181" t="n">
        <x:f>IFERROR(P23/$A$6-1,0)</x:f>
        <x:v>0.0037453183520601563</x:v>
      </x:c>
      <x:c r="R23" t="str">
        <x:f>IF(ABS(Q23)&lt;=$B$6,"W PASMIE","Korekta efektu/skalowania")</x:f>
        <x:v>W PASMIE</x:v>
      </x:c>
    </x:row>
    <x:row r="24" ht="25" customHeight="1">
      <x:c r="A24" t="str">
        <x:f>'Balans — VP3'!A37</x:f>
        <x:v>S10</x:v>
      </x:c>
      <x:c r="B24" t="str">
        <x:f>'Balans — VP3'!B37</x:f>
        <x:v>Dzikie bestie</x:v>
      </x:c>
      <x:c r="C24" t="str">
        <x:f>'Balans — VP3'!C37</x:f>
        <x:v>Nietoperz Krwiożerca</x:v>
      </x:c>
      <x:c r="D24" t="str">
        <x:f>'Balans — VP3'!D37</x:f>
        <x:v>Przy ataku</x:v>
      </x:c>
      <x:c r="E24" t="str">
        <x:f>'Balans — VP3'!E37</x:f>
        <x:v>Leczenie</x:v>
      </x:c>
      <x:c r="F24" s="180" t="n">
        <x:f>'Balans — VP3'!P37</x:f>
        <x:v>6.5</x:v>
      </x:c>
      <x:c r="G24" s="180" t="n">
        <x:f>'Balans — VP3'!Q37</x:f>
        <x:v>10.1</x:v>
      </x:c>
      <x:c r="H24" s="180" t="n">
        <x:f>F24+G24</x:f>
        <x:v>16.6</x:v>
      </x:c>
      <x:c r="I24" s="180" t="n">
        <x:f>H24-$A$6</x:f>
        <x:v>-3.424999999999997</x:v>
      </x:c>
      <x:c r="J24" s="181" t="n">
        <x:f>IFERROR(I24/$A$6,0)</x:f>
        <x:v>-0.17103620474406978</x:v>
      </x:c>
      <x:c r="K24" t="str">
        <x:f>IF(J24&gt;$B$6,"ZA MOCNA",IF(J24&lt;-$B$6,"ZA SŁABA","OK"))</x:f>
        <x:v>ZA SŁABA</x:v>
      </x:c>
      <x:c r="L24" t="n">
        <x:f>$A$6-H24</x:f>
        <x:v>3.424999999999997</x:v>
      </x:c>
      <x:c r="M24" t="str">
        <x:f>IF(K24="OK","Bez zmian",IF(K24="ZA MOCNA","Obniż bazę lub tempo wzrostu","Podnieś bazę lub efekt"))</x:f>
        <x:v>Podnieś bazę lub efekt</x:v>
      </x:c>
      <x:c r="N24" t="n">
        <x:f>MAX(1,'Balans — VP3'!F37+MAX(-2,MIN(2,ROUND(($A$6-H24)/(2*'Balans — VP3'!$B$5),0))))</x:f>
        <x:v>4</x:v>
      </x:c>
      <x:c r="O24" t="n">
        <x:f>MAX(1,'Balans — VP3'!G37+MAX(-4,MIN(4,ROUND(($A$6-H24-(N24-'Balans — VP3'!F37)*2*'Balans — VP3'!$B$5)/(2*'Balans — VP3'!$B$6),0))))</x:f>
        <x:v>5</x:v>
      </x:c>
      <x:c r="P24" s="180" t="n">
        <x:f>H24+(N24-'Balans — VP3'!F37)*2*'Balans — VP3'!$B$5+(O24-'Balans — VP3'!G37)*2*'Balans — VP3'!$B$6</x:f>
        <x:v>19.700000000000003</x:v>
      </x:c>
      <x:c r="Q24" s="181" t="n">
        <x:f>IFERROR(P24/$A$6-1,0)</x:f>
        <x:v>-0.01622971285892616</x:v>
      </x:c>
      <x:c r="R24" t="str">
        <x:f>IF(ABS(Q24)&lt;=$B$6,"W PASMIE","Korekta efektu/skalowania")</x:f>
        <x:v>W PASMIE</x:v>
      </x:c>
    </x:row>
    <x:row r="25" ht="25" customHeight="1">
      <x:c r="A25" t="str">
        <x:f>'Balans — VP3'!A38</x:f>
        <x:v>S68</x:v>
      </x:c>
      <x:c r="B25" t="str">
        <x:f>'Balans — VP3'!B38</x:f>
        <x:v>Dzikie bestie</x:v>
      </x:c>
      <x:c r="C25" t="str">
        <x:f>'Balans — VP3'!C38</x:f>
        <x:v>Dzik Bursztynowych Kłów</x:v>
      </x:c>
      <x:c r="D25" t="str">
        <x:f>'Balans — VP3'!D38</x:f>
        <x:v>Przy ataku</x:v>
      </x:c>
      <x:c r="E25" t="str">
        <x:f>'Balans — VP3'!E38</x:f>
        <x:v>ATK ±</x:v>
      </x:c>
      <x:c r="F25" s="180" t="n">
        <x:f>'Balans — VP3'!P38</x:f>
        <x:v>4.84</x:v>
      </x:c>
      <x:c r="G25" s="180" t="n">
        <x:f>'Balans — VP3'!Q38</x:f>
        <x:v>11.979999999999999</x:v>
      </x:c>
      <x:c r="H25" s="180" t="n">
        <x:f>F25+G25</x:f>
        <x:v>16.82</x:v>
      </x:c>
      <x:c r="I25" s="180" t="n">
        <x:f>H25-$A$6</x:f>
        <x:v>-3.2049999999999983</x:v>
      </x:c>
      <x:c r="J25" s="181" t="n">
        <x:f>IFERROR(I25/$A$6,0)</x:f>
        <x:v>-0.16004993757802738</x:v>
      </x:c>
      <x:c r="K25" t="str">
        <x:f>IF(J25&gt;$B$6,"ZA MOCNA",IF(J25&lt;-$B$6,"ZA SŁABA","OK"))</x:f>
        <x:v>ZA SŁABA</x:v>
      </x:c>
      <x:c r="L25" t="n">
        <x:f>$A$6-H25</x:f>
        <x:v>3.2049999999999983</x:v>
      </x:c>
      <x:c r="M25" t="str">
        <x:f>IF(K25="OK","Bez zmian",IF(K25="ZA MOCNA","Obniż bazę lub tempo wzrostu","Podnieś bazę lub efekt"))</x:f>
        <x:v>Podnieś bazę lub efekt</x:v>
      </x:c>
      <x:c r="N25" t="n">
        <x:f>MAX(1,'Balans — VP3'!F38+MAX(-2,MIN(2,ROUND(($A$6-H25)/(2*'Balans — VP3'!$B$5),0))))</x:f>
        <x:v>3</x:v>
      </x:c>
      <x:c r="O25" t="n">
        <x:f>MAX(1,'Balans — VP3'!G38+MAX(-4,MIN(4,ROUND(($A$6-H25-(N25-'Balans — VP3'!F38)*2*'Balans — VP3'!$B$5)/(2*'Balans — VP3'!$B$6),0))))</x:f>
        <x:v>5</x:v>
      </x:c>
      <x:c r="P25" s="180" t="n">
        <x:f>H25+(N25-'Balans — VP3'!F38)*2*'Balans — VP3'!$B$5+(O25-'Balans — VP3'!G38)*2*'Balans — VP3'!$B$6</x:f>
        <x:v>19.92</x:v>
      </x:c>
      <x:c r="Q25" s="181" t="n">
        <x:f>IFERROR(P25/$A$6-1,0)</x:f>
        <x:v>-0.005243445692883708</x:v>
      </x:c>
      <x:c r="R25" t="str">
        <x:f>IF(ABS(Q25)&lt;=$B$6,"W PASMIE","Korekta efektu/skalowania")</x:f>
        <x:v>W PASMIE</x:v>
      </x:c>
    </x:row>
    <x:row r="26" ht="25" customHeight="1">
      <x:c r="A26" t="str">
        <x:f>'Balans — VP3'!A39</x:f>
        <x:v>S69</x:v>
      </x:c>
      <x:c r="B26" t="str">
        <x:f>'Balans — VP3'!B39</x:f>
        <x:v>Dzikie bestie</x:v>
      </x:c>
      <x:c r="C26" t="str">
        <x:f>'Balans — VP3'!C39</x:f>
        <x:v>Nosorożec Żelaznoskóry</x:v>
      </x:c>
      <x:c r="D26" t="str">
        <x:f>'Balans — VP3'!D39</x:f>
        <x:v>Przy ataku</x:v>
      </x:c>
      <x:c r="E26" t="str">
        <x:f>'Balans — VP3'!E39</x:f>
        <x:v>MAX HP ±</x:v>
      </x:c>
      <x:c r="F26" s="180" t="n">
        <x:f>'Balans — VP3'!P39</x:f>
        <x:v>6.8100000000000005</x:v>
      </x:c>
      <x:c r="G26" s="180" t="n">
        <x:f>'Balans — VP3'!Q39</x:f>
        <x:v>10.170000000000002</x:v>
      </x:c>
      <x:c r="H26" s="180" t="n">
        <x:f>F26+G26</x:f>
        <x:v>16.980000000000004</x:v>
      </x:c>
      <x:c r="I26" s="180" t="n">
        <x:f>H26-$A$6</x:f>
        <x:v>-3.0449999999999946</x:v>
      </x:c>
      <x:c r="J26" s="181" t="n">
        <x:f>IFERROR(I26/$A$6,0)</x:f>
        <x:v>-0.1520599250936327</x:v>
      </x:c>
      <x:c r="K26" t="str">
        <x:f>IF(J26&gt;$B$6,"ZA MOCNA",IF(J26&lt;-$B$6,"ZA SŁABA","OK"))</x:f>
        <x:v>ZA SŁABA</x:v>
      </x:c>
      <x:c r="L26" t="n">
        <x:f>$A$6-H26</x:f>
        <x:v>3.0449999999999946</x:v>
      </x:c>
      <x:c r="M26" t="str">
        <x:f>IF(K26="OK","Bez zmian",IF(K26="ZA MOCNA","Obniż bazę lub tempo wzrostu","Podnieś bazę lub efekt"))</x:f>
        <x:v>Podnieś bazę lub efekt</x:v>
      </x:c>
      <x:c r="N26" t="n">
        <x:f>MAX(1,'Balans — VP3'!F39+MAX(-2,MIN(2,ROUND(($A$6-H26)/(2*'Balans — VP3'!$B$5),0))))</x:f>
        <x:v>5</x:v>
      </x:c>
      <x:c r="O26" t="n">
        <x:f>MAX(1,'Balans — VP3'!G39+MAX(-4,MIN(4,ROUND(($A$6-H26-(N26-'Balans — VP3'!F39)*2*'Balans — VP3'!$B$5)/(2*'Balans — VP3'!$B$6),0))))</x:f>
        <x:v>6</x:v>
      </x:c>
      <x:c r="P26" s="180" t="n">
        <x:f>H26+(N26-'Balans — VP3'!F39)*2*'Balans — VP3'!$B$5+(O26-'Balans — VP3'!G39)*2*'Balans — VP3'!$B$6</x:f>
        <x:v>20.080000000000005</x:v>
      </x:c>
      <x:c r="Q26" s="181" t="n">
        <x:f>IFERROR(P26/$A$6-1,0)</x:f>
        <x:v>0.0027465667915109737</x:v>
      </x:c>
      <x:c r="R26" t="str">
        <x:f>IF(ABS(Q26)&lt;=$B$6,"W PASMIE","Korekta efektu/skalowania")</x:f>
        <x:v>W PASMIE</x:v>
      </x:c>
    </x:row>
    <x:row r="27" ht="25" customHeight="1">
      <x:c r="A27" t="str">
        <x:f>'Balans — VP3'!A40</x:f>
        <x:v>S12</x:v>
      </x:c>
      <x:c r="B27" t="str">
        <x:f>'Balans — VP3'!B40</x:f>
        <x:v>Dzikie bestie</x:v>
      </x:c>
      <x:c r="C27" t="str">
        <x:f>'Balans — VP3'!C40</x:f>
        <x:v>Żarłacz Pancerzy</x:v>
      </x:c>
      <x:c r="D27" t="str">
        <x:f>'Balans — VP3'!D40</x:f>
        <x:v>Przy ataku</x:v>
      </x:c>
      <x:c r="E27" t="str">
        <x:f>'Balans — VP3'!E40</x:f>
        <x:v>Pancerz</x:v>
      </x:c>
      <x:c r="F27" s="180" t="n">
        <x:f>'Balans — VP3'!P40</x:f>
        <x:v>7.8100000000000005</x:v>
      </x:c>
      <x:c r="G27" s="180" t="n">
        <x:f>'Balans — VP3'!Q40</x:f>
        <x:v>11.29</x:v>
      </x:c>
      <x:c r="H27" s="180" t="n">
        <x:f>F27+G27</x:f>
        <x:v>19.1</x:v>
      </x:c>
      <x:c r="I27" s="180" t="n">
        <x:f>H27-$A$6</x:f>
        <x:v>-0.9249999999999972</x:v>
      </x:c>
      <x:c r="J27" s="181" t="n">
        <x:f>IFERROR(I27/$A$6,0)</x:f>
        <x:v>-0.046192259675405606</x:v>
      </x:c>
      <x:c r="K27" t="str">
        <x:f>IF(J27&gt;$B$6,"ZA MOCNA",IF(J27&lt;-$B$6,"ZA SŁABA","OK"))</x:f>
        <x:v>OK</x:v>
      </x:c>
      <x:c r="L27" t="n">
        <x:f>$A$6-H27</x:f>
        <x:v>0.9249999999999972</x:v>
      </x:c>
      <x:c r="M27" t="str">
        <x:f>IF(K27="OK","Bez zmian",IF(K27="ZA MOCNA","Obniż bazę lub tempo wzrostu","Podnieś bazę lub efekt"))</x:f>
        <x:v>Bez zmian</x:v>
      </x:c>
      <x:c r="N27" t="n">
        <x:f>MAX(1,'Balans — VP3'!F40+MAX(-2,MIN(2,ROUND(($A$6-H27)/(2*'Balans — VP3'!$B$5),0))))</x:f>
        <x:v>4</x:v>
      </x:c>
      <x:c r="O27" t="n">
        <x:f>MAX(1,'Balans — VP3'!G40+MAX(-4,MIN(4,ROUND(($A$6-H27-(N27-'Balans — VP3'!F40)*2*'Balans — VP3'!$B$5)/(2*'Balans — VP3'!$B$6),0))))</x:f>
        <x:v>6</x:v>
      </x:c>
      <x:c r="P27" s="180" t="n">
        <x:f>H27+(N27-'Balans — VP3'!F40)*2*'Balans — VP3'!$B$5+(O27-'Balans — VP3'!G40)*2*'Balans — VP3'!$B$6</x:f>
        <x:v>20</x:v>
      </x:c>
      <x:c r="Q27" s="181" t="n">
        <x:f>IFERROR(P27/$A$6-1,0)</x:f>
        <x:v>-0.0012484394506865337</x:v>
      </x:c>
      <x:c r="R27" t="str">
        <x:f>IF(ABS(Q27)&lt;=$B$6,"W PASMIE","Korekta efektu/skalowania")</x:f>
        <x:v>W PASMIE</x:v>
      </x:c>
    </x:row>
    <x:row r="28" ht="25" customHeight="1">
      <x:c r="A28" t="str">
        <x:f>'Balans — VP3'!A41</x:f>
        <x:v>S70</x:v>
      </x:c>
      <x:c r="B28" t="str">
        <x:f>'Balans — VP3'!B41</x:f>
        <x:v>Dzikie bestie</x:v>
      </x:c>
      <x:c r="C28" t="str">
        <x:f>'Balans — VP3'!C41</x:f>
        <x:v>Żółw Rogaty</x:v>
      </x:c>
      <x:c r="D28" t="str">
        <x:f>'Balans — VP3'!D41</x:f>
        <x:v>Przy ataku</x:v>
      </x:c>
      <x:c r="E28" t="str">
        <x:f>'Balans — VP3'!E41</x:f>
        <x:v>Tarcza</x:v>
      </x:c>
      <x:c r="F28" s="180" t="n">
        <x:f>'Balans — VP3'!P41</x:f>
        <x:v>9.3</x:v>
      </x:c>
      <x:c r="G28" s="180" t="n">
        <x:f>'Balans — VP3'!Q41</x:f>
        <x:v>13.35</x:v>
      </x:c>
      <x:c r="H28" s="180" t="n">
        <x:f>F28+G28</x:f>
        <x:v>22.65</x:v>
      </x:c>
      <x:c r="I28" s="180" t="n">
        <x:f>H28-$A$6</x:f>
        <x:v>2.625</x:v>
      </x:c>
      <x:c r="J28" s="181" t="n">
        <x:f>IFERROR(I28/$A$6,0)</x:f>
        <x:v>0.1310861423220974</x:v>
      </x:c>
      <x:c r="K28" t="str">
        <x:f>IF(J28&gt;$B$6,"ZA MOCNA",IF(J28&lt;-$B$6,"ZA SŁABA","OK"))</x:f>
        <x:v>ZA MOCNA</x:v>
      </x:c>
      <x:c r="L28" t="n">
        <x:f>$A$6-H28</x:f>
        <x:v>-2.625</x:v>
      </x:c>
      <x:c r="M28" t="str">
        <x:f>IF(K28="OK","Bez zmian",IF(K28="ZA MOCNA","Obniż bazę lub tempo wzrostu","Podnieś bazę lub efekt"))</x:f>
        <x:v>Obniż bazę lub tempo wzrostu</x:v>
      </x:c>
      <x:c r="N28" t="n">
        <x:f>MAX(1,'Balans — VP3'!F41+MAX(-2,MIN(2,ROUND(($A$6-H28)/(2*'Balans — VP3'!$B$5),0))))</x:f>
        <x:v>2</x:v>
      </x:c>
      <x:c r="O28" t="n">
        <x:f>MAX(1,'Balans — VP3'!G41+MAX(-4,MIN(4,ROUND(($A$6-H28-(N28-'Balans — VP3'!F41)*2*'Balans — VP3'!$B$5)/(2*'Balans — VP3'!$B$6),0))))</x:f>
        <x:v>5</x:v>
      </x:c>
      <x:c r="P28" s="180" t="n">
        <x:f>H28+(N28-'Balans — VP3'!F41)*2*'Balans — VP3'!$B$5+(O28-'Balans — VP3'!G41)*2*'Balans — VP3'!$B$6</x:f>
        <x:v>19.75</x:v>
      </x:c>
      <x:c r="Q28" s="181" t="n">
        <x:f>IFERROR(P28/$A$6-1,0)</x:f>
        <x:v>-0.013732833957552981</x:v>
      </x:c>
      <x:c r="R28" t="str">
        <x:f>IF(ABS(Q28)&lt;=$B$6,"W PASMIE","Korekta efektu/skalowania")</x:f>
        <x:v>W PASMIE</x:v>
      </x:c>
    </x:row>
    <x:row r="29" ht="25" customHeight="1">
      <x:c r="A29" t="str">
        <x:f>'Balans — VP3'!A42</x:f>
        <x:v>S11</x:v>
      </x:c>
      <x:c r="B29" t="str">
        <x:f>'Balans — VP3'!B42</x:f>
        <x:v>Dzikie bestie</x:v>
      </x:c>
      <x:c r="C29" t="str">
        <x:f>'Balans — VP3'!C42</x:f>
        <x:v>Jadowita Żmija</x:v>
      </x:c>
      <x:c r="D29" t="str">
        <x:f>'Balans — VP3'!D42</x:f>
        <x:v>Przy ataku</x:v>
      </x:c>
      <x:c r="E29" t="str">
        <x:f>'Balans — VP3'!E42</x:f>
        <x:v>Trucizna</x:v>
      </x:c>
      <x:c r="F29" s="180" t="n">
        <x:f>'Balans — VP3'!P42</x:f>
        <x:v>5.05</x:v>
      </x:c>
      <x:c r="G29" s="180" t="n">
        <x:f>'Balans — VP3'!Q42</x:f>
        <x:v>12.85</x:v>
      </x:c>
      <x:c r="H29" s="180" t="n">
        <x:f>F29+G29</x:f>
        <x:v>17.9</x:v>
      </x:c>
      <x:c r="I29" s="180" t="n">
        <x:f>H29-$A$6</x:f>
        <x:v>-2.125</x:v>
      </x:c>
      <x:c r="J29" s="181" t="n">
        <x:f>IFERROR(I29/$A$6,0)</x:f>
        <x:v>-0.10611735330836455</x:v>
      </x:c>
      <x:c r="K29" t="str">
        <x:f>IF(J29&gt;$B$6,"ZA MOCNA",IF(J29&lt;-$B$6,"ZA SŁABA","OK"))</x:f>
        <x:v>OK</x:v>
      </x:c>
      <x:c r="L29" t="n">
        <x:f>$A$6-H29</x:f>
        <x:v>2.125</x:v>
      </x:c>
      <x:c r="M29" t="str">
        <x:f>IF(K29="OK","Bez zmian",IF(K29="ZA MOCNA","Obniż bazę lub tempo wzrostu","Podnieś bazę lub efekt"))</x:f>
        <x:v>Bez zmian</x:v>
      </x:c>
      <x:c r="N29" t="n">
        <x:f>MAX(1,'Balans — VP3'!F42+MAX(-2,MIN(2,ROUND(($A$6-H29)/(2*'Balans — VP3'!$B$5),0))))</x:f>
        <x:v>2</x:v>
      </x:c>
      <x:c r="O29" t="n">
        <x:f>MAX(1,'Balans — VP3'!G42+MAX(-4,MIN(4,ROUND(($A$6-H29-(N29-'Balans — VP3'!F42)*2*'Balans — VP3'!$B$5)/(2*'Balans — VP3'!$B$6),0))))</x:f>
        <x:v>5</x:v>
      </x:c>
      <x:c r="P29" s="180" t="n">
        <x:f>H29+(N29-'Balans — VP3'!F42)*2*'Balans — VP3'!$B$5+(O29-'Balans — VP3'!G42)*2*'Balans — VP3'!$B$6</x:f>
        <x:v>19.9</x:v>
      </x:c>
      <x:c r="Q29" s="181" t="n">
        <x:f>IFERROR(P29/$A$6-1,0)</x:f>
        <x:v>-0.006242197253433224</x:v>
      </x:c>
      <x:c r="R29" t="str">
        <x:f>IF(ABS(Q29)&lt;=$B$6,"W PASMIE","Korekta efektu/skalowania")</x:f>
        <x:v>W PASMIE</x:v>
      </x:c>
    </x:row>
    <x:row r="30" ht="25" customHeight="1">
      <x:c r="A30" t="str">
        <x:f>'Balans — VP3'!A43</x:f>
        <x:v>S15</x:v>
      </x:c>
      <x:c r="B30" t="str">
        <x:f>'Balans — VP3'!B43</x:f>
        <x:v>Dzikie bestie</x:v>
      </x:c>
      <x:c r="C30" t="str">
        <x:f>'Balans — VP3'!C43</x:f>
        <x:v>Niedźwiedź Grzmotu</x:v>
      </x:c>
      <x:c r="D30" t="str">
        <x:f>'Balans — VP3'!D43</x:f>
        <x:v>Przy ataku</x:v>
      </x:c>
      <x:c r="E30" t="str">
        <x:f>'Balans — VP3'!E43</x:f>
        <x:v>Ogłuszenie</x:v>
      </x:c>
      <x:c r="F30" s="180" t="n">
        <x:f>'Balans — VP3'!P43</x:f>
        <x:v>6.7</x:v>
      </x:c>
      <x:c r="G30" s="180" t="n">
        <x:f>'Balans — VP3'!Q43</x:f>
        <x:v>14.05</x:v>
      </x:c>
      <x:c r="H30" s="180" t="n">
        <x:f>F30+G30</x:f>
        <x:v>20.75</x:v>
      </x:c>
      <x:c r="I30" s="180" t="n">
        <x:f>H30-$A$6</x:f>
        <x:v>0.7250000000000014</x:v>
      </x:c>
      <x:c r="J30" s="181" t="n">
        <x:f>IFERROR(I30/$A$6,0)</x:f>
        <x:v>0.036204744069912684</x:v>
      </x:c>
      <x:c r="K30" t="str">
        <x:f>IF(J30&gt;$B$6,"ZA MOCNA",IF(J30&lt;-$B$6,"ZA SŁABA","OK"))</x:f>
        <x:v>OK</x:v>
      </x:c>
      <x:c r="L30" t="n">
        <x:f>$A$6-H30</x:f>
        <x:v>-0.7250000000000014</x:v>
      </x:c>
      <x:c r="M30" t="str">
        <x:f>IF(K30="OK","Bez zmian",IF(K30="ZA MOCNA","Obniż bazę lub tempo wzrostu","Podnieś bazę lub efekt"))</x:f>
        <x:v>Bez zmian</x:v>
      </x:c>
      <x:c r="N30" t="n">
        <x:f>MAX(1,'Balans — VP3'!F43+MAX(-2,MIN(2,ROUND(($A$6-H30)/(2*'Balans — VP3'!$B$5),0))))</x:f>
        <x:v>1</x:v>
      </x:c>
      <x:c r="O30" t="n">
        <x:f>MAX(1,'Balans — VP3'!G43+MAX(-4,MIN(4,ROUND(($A$6-H30-(N30-'Balans — VP3'!F43)*2*'Balans — VP3'!$B$5)/(2*'Balans — VP3'!$B$6),0))))</x:f>
        <x:v>5</x:v>
      </x:c>
      <x:c r="P30" s="180" t="n">
        <x:f>H30+(N30-'Balans — VP3'!F43)*2*'Balans — VP3'!$B$5+(O30-'Balans — VP3'!G43)*2*'Balans — VP3'!$B$6</x:f>
        <x:v>19.85</x:v>
      </x:c>
      <x:c r="Q30" s="181" t="n">
        <x:f>IFERROR(P30/$A$6-1,0)</x:f>
        <x:v>-0.008739076154806402</x:v>
      </x:c>
      <x:c r="R30" t="str">
        <x:f>IF(ABS(Q30)&lt;=$B$6,"W PASMIE","Korekta efektu/skalowania")</x:f>
        <x:v>W PASMIE</x:v>
      </x:c>
    </x:row>
    <x:row r="31" ht="25" customHeight="1">
      <x:c r="A31" t="str">
        <x:f>'Balans — VP3'!A44</x:f>
        <x:v>S71</x:v>
      </x:c>
      <x:c r="B31" t="str">
        <x:f>'Balans — VP3'!B44</x:f>
        <x:v>Dzikie bestie</x:v>
      </x:c>
      <x:c r="C31" t="str">
        <x:f>'Balans — VP3'!C44</x:f>
        <x:v>Salamandra Odnowy</x:v>
      </x:c>
      <x:c r="D31" t="str">
        <x:f>'Balans — VP3'!D44</x:f>
        <x:v>Przy ataku</x:v>
      </x:c>
      <x:c r="E31" t="str">
        <x:f>'Balans — VP3'!E44</x:f>
        <x:v>Regeneracja</x:v>
      </x:c>
      <x:c r="F31" s="180" t="n">
        <x:f>'Balans — VP3'!P44</x:f>
        <x:v>5.720000000000001</x:v>
      </x:c>
      <x:c r="G31" s="180" t="n">
        <x:f>'Balans — VP3'!Q44</x:f>
        <x:v>9.440000000000001</x:v>
      </x:c>
      <x:c r="H31" s="180" t="n">
        <x:f>F31+G31</x:f>
        <x:v>15.160000000000002</x:v>
      </x:c>
      <x:c r="I31" s="180" t="n">
        <x:f>H31-$A$6</x:f>
        <x:v>-4.864999999999997</x:v>
      </x:c>
      <x:c r="J31" s="181" t="n">
        <x:f>IFERROR(I31/$A$6,0)</x:f>
        <x:v>-0.24294631710362033</x:v>
      </x:c>
      <x:c r="K31" t="str">
        <x:f>IF(J31&gt;$B$6,"ZA MOCNA",IF(J31&lt;-$B$6,"ZA SŁABA","OK"))</x:f>
        <x:v>ZA SŁABA</x:v>
      </x:c>
      <x:c r="L31" t="n">
        <x:f>$A$6-H31</x:f>
        <x:v>4.864999999999997</x:v>
      </x:c>
      <x:c r="M31" t="str">
        <x:f>IF(K31="OK","Bez zmian",IF(K31="ZA MOCNA","Obniż bazę lub tempo wzrostu","Podnieś bazę lub efekt"))</x:f>
        <x:v>Podnieś bazę lub efekt</x:v>
      </x:c>
      <x:c r="N31" t="n">
        <x:f>MAX(1,'Balans — VP3'!F44+MAX(-2,MIN(2,ROUND(($A$6-H31)/(2*'Balans — VP3'!$B$5),0))))</x:f>
        <x:v>4</x:v>
      </x:c>
      <x:c r="O31" t="n">
        <x:f>MAX(1,'Balans — VP3'!G44+MAX(-4,MIN(4,ROUND(($A$6-H31-(N31-'Balans — VP3'!F44)*2*'Balans — VP3'!$B$5)/(2*'Balans — VP3'!$B$6),0))))</x:f>
        <x:v>7</x:v>
      </x:c>
      <x:c r="P31" s="180" t="n">
        <x:f>H31+(N31-'Balans — VP3'!F44)*2*'Balans — VP3'!$B$5+(O31-'Balans — VP3'!G44)*2*'Balans — VP3'!$B$6</x:f>
        <x:v>20.060000000000002</x:v>
      </x:c>
      <x:c r="Q31" s="181" t="n">
        <x:f>IFERROR(P31/$A$6-1,0)</x:f>
        <x:v>0.001747815230961569</x:v>
      </x:c>
      <x:c r="R31" t="str">
        <x:f>IF(ABS(Q31)&lt;=$B$6,"W PASMIE","Korekta efektu/skalowania")</x:f>
        <x:v>W PASMIE</x:v>
      </x:c>
    </x:row>
    <x:row r="32" ht="25" customHeight="1">
      <x:c r="A32" t="str">
        <x:f>'Balans — VP3'!A45</x:f>
        <x:v>S72</x:v>
      </x:c>
      <x:c r="B32" t="str">
        <x:f>'Balans — VP3'!B45</x:f>
        <x:v>Dzikie bestie</x:v>
      </x:c>
      <x:c r="C32" t="str">
        <x:f>'Balans — VP3'!C45</x:f>
        <x:v>Bawół Strażnik</x:v>
      </x:c>
      <x:c r="D32" t="str">
        <x:f>'Balans — VP3'!D45</x:f>
        <x:v>Przy ataku</x:v>
      </x:c>
      <x:c r="E32" t="str">
        <x:f>'Balans — VP3'!E45</x:f>
        <x:v>Prowokacja</x:v>
      </x:c>
      <x:c r="F32" s="180" t="n">
        <x:f>'Balans — VP3'!P45</x:f>
        <x:v>8.48</x:v>
      </x:c>
      <x:c r="G32" s="180" t="n">
        <x:f>'Balans — VP3'!Q45</x:f>
        <x:v>12.530000000000001</x:v>
      </x:c>
      <x:c r="H32" s="180" t="n">
        <x:f>F32+G32</x:f>
        <x:v>21.01</x:v>
      </x:c>
      <x:c r="I32" s="180" t="n">
        <x:f>H32-$A$6</x:f>
        <x:v>0.985000000000003</x:v>
      </x:c>
      <x:c r="J32" s="181" t="n">
        <x:f>IFERROR(I32/$A$6,0)</x:f>
        <x:v>0.049188514357053834</x:v>
      </x:c>
      <x:c r="K32" t="str">
        <x:f>IF(J32&gt;$B$6,"ZA MOCNA",IF(J32&lt;-$B$6,"ZA SŁABA","OK"))</x:f>
        <x:v>OK</x:v>
      </x:c>
      <x:c r="L32" t="n">
        <x:f>$A$6-H32</x:f>
        <x:v>-0.985000000000003</x:v>
      </x:c>
      <x:c r="M32" t="str">
        <x:f>IF(K32="OK","Bez zmian",IF(K32="ZA MOCNA","Obniż bazę lub tempo wzrostu","Podnieś bazę lub efekt"))</x:f>
        <x:v>Bez zmian</x:v>
      </x:c>
      <x:c r="N32" t="n">
        <x:f>MAX(1,'Balans — VP3'!F45+MAX(-2,MIN(2,ROUND(($A$6-H32)/(2*'Balans — VP3'!$B$5),0))))</x:f>
        <x:v>2</x:v>
      </x:c>
      <x:c r="O32" t="n">
        <x:f>MAX(1,'Balans — VP3'!G45+MAX(-4,MIN(4,ROUND(($A$6-H32-(N32-'Balans — VP3'!F45)*2*'Balans — VP3'!$B$5)/(2*'Balans — VP3'!$B$6),0))))</x:f>
        <x:v>7</x:v>
      </x:c>
      <x:c r="P32" s="180" t="n">
        <x:f>H32+(N32-'Balans — VP3'!F45)*2*'Balans — VP3'!$B$5+(O32-'Balans — VP3'!G45)*2*'Balans — VP3'!$B$6</x:f>
        <x:v>20.110000000000003</x:v>
      </x:c>
      <x:c r="Q32" s="181" t="n">
        <x:f>IFERROR(P32/$A$6-1,0)</x:f>
        <x:v>0.004244694132334859</x:v>
      </x:c>
      <x:c r="R32" t="str">
        <x:f>IF(ABS(Q32)&lt;=$B$6,"W PASMIE","Korekta efektu/skalowania")</x:f>
        <x:v>W PASMIE</x:v>
      </x:c>
    </x:row>
    <x:row r="33" ht="25" customHeight="1">
      <x:c r="A33" t="str">
        <x:f>'Balans — VP3'!A46</x:f>
        <x:v>S74</x:v>
      </x:c>
      <x:c r="B33" t="str">
        <x:f>'Balans — VP3'!B46</x:f>
        <x:v>Dzikie bestie</x:v>
      </x:c>
      <x:c r="C33" t="str">
        <x:f>'Balans — VP3'!C46</x:f>
        <x:v>Lis Oczyszczający</x:v>
      </x:c>
      <x:c r="D33" t="str">
        <x:f>'Balans — VP3'!D46</x:f>
        <x:v>Przy ataku</x:v>
      </x:c>
      <x:c r="E33" t="str">
        <x:f>'Balans — VP3'!E46</x:f>
        <x:v>Oczyszczanie</x:v>
      </x:c>
      <x:c r="F33" s="180" t="n">
        <x:f>'Balans — VP3'!P46</x:f>
        <x:v>5.74</x:v>
      </x:c>
      <x:c r="G33" s="180" t="n">
        <x:f>'Balans — VP3'!Q46</x:f>
        <x:v>12.13</x:v>
      </x:c>
      <x:c r="H33" s="180" t="n">
        <x:f>F33+G33</x:f>
        <x:v>17.87</x:v>
      </x:c>
      <x:c r="I33" s="180" t="n">
        <x:f>H33-$A$6</x:f>
        <x:v>-2.1549999999999976</x:v>
      </x:c>
      <x:c r="J33" s="181" t="n">
        <x:f>IFERROR(I33/$A$6,0)</x:f>
        <x:v>-0.1076154806491884</x:v>
      </x:c>
      <x:c r="K33" t="str">
        <x:f>IF(J33&gt;$B$6,"ZA MOCNA",IF(J33&lt;-$B$6,"ZA SŁABA","OK"))</x:f>
        <x:v>OK</x:v>
      </x:c>
      <x:c r="L33" t="n">
        <x:f>$A$6-H33</x:f>
        <x:v>2.1549999999999976</x:v>
      </x:c>
      <x:c r="M33" t="str">
        <x:f>IF(K33="OK","Bez zmian",IF(K33="ZA MOCNA","Obniż bazę lub tempo wzrostu","Podnieś bazę lub efekt"))</x:f>
        <x:v>Bez zmian</x:v>
      </x:c>
      <x:c r="N33" t="n">
        <x:f>MAX(1,'Balans — VP3'!F46+MAX(-2,MIN(2,ROUND(($A$6-H33)/(2*'Balans — VP3'!$B$5),0))))</x:f>
        <x:v>2</x:v>
      </x:c>
      <x:c r="O33" t="n">
        <x:f>MAX(1,'Balans — VP3'!G46+MAX(-4,MIN(4,ROUND(($A$6-H33-(N33-'Balans — VP3'!F46)*2*'Balans — VP3'!$B$5)/(2*'Balans — VP3'!$B$6),0))))</x:f>
        <x:v>6</x:v>
      </x:c>
      <x:c r="P33" s="180" t="n">
        <x:f>H33+(N33-'Balans — VP3'!F46)*2*'Balans — VP3'!$B$5+(O33-'Balans — VP3'!G46)*2*'Balans — VP3'!$B$6</x:f>
        <x:v>19.87</x:v>
      </x:c>
      <x:c r="Q33" s="181" t="n">
        <x:f>IFERROR(P33/$A$6-1,0)</x:f>
        <x:v>-0.007740324594257109</x:v>
      </x:c>
      <x:c r="R33" t="str">
        <x:f>IF(ABS(Q33)&lt;=$B$6,"W PASMIE","Korekta efektu/skalowania")</x:f>
        <x:v>W PASMIE</x:v>
      </x:c>
    </x:row>
    <x:row r="34" ht="25" customHeight="1">
      <x:c r="A34" t="str">
        <x:f>'Balans — VP3'!A47</x:f>
        <x:v>S76</x:v>
      </x:c>
      <x:c r="B34" t="str">
        <x:f>'Balans — VP3'!B47</x:f>
        <x:v>Dzikie bestie</x:v>
      </x:c>
      <x:c r="C34" t="str">
        <x:f>'Balans — VP3'!C47</x:f>
        <x:v>Miodożer Nieugięty</x:v>
      </x:c>
      <x:c r="D34" t="str">
        <x:f>'Balans — VP3'!D47</x:f>
        <x:v>Przy ataku</x:v>
      </x:c>
      <x:c r="E34" t="str">
        <x:f>'Balans — VP3'!E47</x:f>
        <x:v>Odporność</x:v>
      </x:c>
      <x:c r="F34" s="180" t="n">
        <x:f>'Balans — VP3'!P47</x:f>
        <x:v>8.38</x:v>
      </x:c>
      <x:c r="G34" s="180" t="n">
        <x:f>'Balans — VP3'!Q47</x:f>
        <x:v>12.76</x:v>
      </x:c>
      <x:c r="H34" s="180" t="n">
        <x:f>F34+G34</x:f>
        <x:v>21.14</x:v>
      </x:c>
      <x:c r="I34" s="180" t="n">
        <x:f>H34-$A$6</x:f>
        <x:v>1.115000000000002</x:v>
      </x:c>
      <x:c r="J34" s="181" t="n">
        <x:f>IFERROR(I34/$A$6,0)</x:f>
        <x:v>0.055680399500624325</x:v>
      </x:c>
      <x:c r="K34" t="str">
        <x:f>IF(J34&gt;$B$6,"ZA MOCNA",IF(J34&lt;-$B$6,"ZA SŁABA","OK"))</x:f>
        <x:v>OK</x:v>
      </x:c>
      <x:c r="L34" t="n">
        <x:f>$A$6-H34</x:f>
        <x:v>-1.115000000000002</x:v>
      </x:c>
      <x:c r="M34" t="str">
        <x:f>IF(K34="OK","Bez zmian",IF(K34="ZA MOCNA","Obniż bazę lub tempo wzrostu","Podnieś bazę lub efekt"))</x:f>
        <x:v>Bez zmian</x:v>
      </x:c>
      <x:c r="N34" t="n">
        <x:f>MAX(1,'Balans — VP3'!F47+MAX(-2,MIN(2,ROUND(($A$6-H34)/(2*'Balans — VP3'!$B$5),0))))</x:f>
        <x:v>3</x:v>
      </x:c>
      <x:c r="O34" t="n">
        <x:f>MAX(1,'Balans — VP3'!G47+MAX(-4,MIN(4,ROUND(($A$6-H34-(N34-'Balans — VP3'!F47)*2*'Balans — VP3'!$B$5)/(2*'Balans — VP3'!$B$6),0))))</x:f>
        <x:v>7</x:v>
      </x:c>
      <x:c r="P34" s="180" t="n">
        <x:f>H34+(N34-'Balans — VP3'!F47)*2*'Balans — VP3'!$B$5+(O34-'Balans — VP3'!G47)*2*'Balans — VP3'!$B$6</x:f>
        <x:v>20.04</x:v>
      </x:c>
      <x:c r="Q34" s="181" t="n">
        <x:f>IFERROR(P34/$A$6-1,0)</x:f>
        <x:v>0.0007490636704119424</x:v>
      </x:c>
      <x:c r="R34" t="str">
        <x:f>IF(ABS(Q34)&lt;=$B$6,"W PASMIE","Korekta efektu/skalowania")</x:f>
        <x:v>W PASMIE</x:v>
      </x:c>
    </x:row>
    <x:row r="35" ht="25" customHeight="1">
      <x:c r="A35" t="str">
        <x:f>'Balans — VP3'!A48</x:f>
        <x:v>S78</x:v>
      </x:c>
      <x:c r="B35" t="str">
        <x:f>'Balans — VP3'!B48</x:f>
        <x:v>Dzikie bestie</x:v>
      </x:c>
      <x:c r="C35" t="str">
        <x:f>'Balans — VP3'!C48</x:f>
        <x:v>Gepard Burzowy</x:v>
      </x:c>
      <x:c r="D35" t="str">
        <x:f>'Balans — VP3'!D48</x:f>
        <x:v>Przy ataku</x:v>
      </x:c>
      <x:c r="E35" t="str">
        <x:f>'Balans — VP3'!E48</x:f>
        <x:v>Szybki atak</x:v>
      </x:c>
      <x:c r="F35" s="180" t="n">
        <x:f>'Balans — VP3'!P48</x:f>
        <x:v>6.92</x:v>
      </x:c>
      <x:c r="G35" s="180" t="n">
        <x:f>'Balans — VP3'!Q48</x:f>
        <x:v>15.370000000000001</x:v>
      </x:c>
      <x:c r="H35" s="180" t="n">
        <x:f>F35+G35</x:f>
        <x:v>22.29</x:v>
      </x:c>
      <x:c r="I35" s="180" t="n">
        <x:f>H35-$A$6</x:f>
        <x:v>2.2650000000000006</x:v>
      </x:c>
      <x:c r="J35" s="181" t="n">
        <x:f>IFERROR(I35/$A$6,0)</x:f>
        <x:v>0.11310861423220978</x:v>
      </x:c>
      <x:c r="K35" t="str">
        <x:f>IF(J35&gt;$B$6,"ZA MOCNA",IF(J35&lt;-$B$6,"ZA SŁABA","OK"))</x:f>
        <x:v>OK</x:v>
      </x:c>
      <x:c r="L35" t="n">
        <x:f>$A$6-H35</x:f>
        <x:v>-2.2650000000000006</x:v>
      </x:c>
      <x:c r="M35" t="str">
        <x:f>IF(K35="OK","Bez zmian",IF(K35="ZA MOCNA","Obniż bazę lub tempo wzrostu","Podnieś bazę lub efekt"))</x:f>
        <x:v>Bez zmian</x:v>
      </x:c>
      <x:c r="N35" t="n">
        <x:f>MAX(1,'Balans — VP3'!F48+MAX(-2,MIN(2,ROUND(($A$6-H35)/(2*'Balans — VP3'!$B$5),0))))</x:f>
        <x:v>1</x:v>
      </x:c>
      <x:c r="O35" t="n">
        <x:f>MAX(1,'Balans — VP3'!G48+MAX(-4,MIN(4,ROUND(($A$6-H35-(N35-'Balans — VP3'!F48)*2*'Balans — VP3'!$B$5)/(2*'Balans — VP3'!$B$6),0))))</x:f>
        <x:v>4</x:v>
      </x:c>
      <x:c r="P35" s="180" t="n">
        <x:f>H35+(N35-'Balans — VP3'!F48)*2*'Balans — VP3'!$B$5+(O35-'Balans — VP3'!G48)*2*'Balans — VP3'!$B$6</x:f>
        <x:v>20.29</x:v>
      </x:c>
      <x:c r="Q35" s="181" t="n">
        <x:f>IFERROR(P35/$A$6-1,0)</x:f>
        <x:v>0.01323345817727839</x:v>
      </x:c>
      <x:c r="R35" t="str">
        <x:f>IF(ABS(Q35)&lt;=$B$6,"W PASMIE","Korekta efektu/skalowania")</x:f>
        <x:v>W PASMIE</x:v>
      </x:c>
    </x:row>
    <x:row r="36" ht="25" customHeight="1">
      <x:c r="A36" t="str">
        <x:f>'Balans — VP3'!A49</x:f>
        <x:v>S79</x:v>
      </x:c>
      <x:c r="B36" t="str">
        <x:f>'Balans — VP3'!B49</x:f>
        <x:v>Dzikie bestie</x:v>
      </x:c>
      <x:c r="C36" t="str">
        <x:f>'Balans — VP3'!C49</x:f>
        <x:v>Dwugłowa Hiena</x:v>
      </x:c>
      <x:c r="D36" t="str">
        <x:f>'Balans — VP3'!D49</x:f>
        <x:v>Przy ataku</x:v>
      </x:c>
      <x:c r="E36" t="str">
        <x:f>'Balans — VP3'!E49</x:f>
        <x:v>Podwójny atak</x:v>
      </x:c>
      <x:c r="F36" s="180" t="n">
        <x:f>'Balans — VP3'!P49</x:f>
        <x:v>7.09</x:v>
      </x:c>
      <x:c r="G36" s="180" t="n">
        <x:f>'Balans — VP3'!Q49</x:f>
        <x:v>15.09</x:v>
      </x:c>
      <x:c r="H36" s="180" t="n">
        <x:f>F36+G36</x:f>
        <x:v>22.18</x:v>
      </x:c>
      <x:c r="I36" s="180" t="n">
        <x:f>H36-$A$6</x:f>
        <x:v>2.155000000000001</x:v>
      </x:c>
      <x:c r="J36" s="181" t="n">
        <x:f>IFERROR(I36/$A$6,0)</x:f>
        <x:v>0.10761548064918858</x:v>
      </x:c>
      <x:c r="K36" t="str">
        <x:f>IF(J36&gt;$B$6,"ZA MOCNA",IF(J36&lt;-$B$6,"ZA SŁABA","OK"))</x:f>
        <x:v>OK</x:v>
      </x:c>
      <x:c r="L36" t="n">
        <x:f>$A$6-H36</x:f>
        <x:v>-2.155000000000001</x:v>
      </x:c>
      <x:c r="M36" t="str">
        <x:f>IF(K36="OK","Bez zmian",IF(K36="ZA MOCNA","Obniż bazę lub tempo wzrostu","Podnieś bazę lub efekt"))</x:f>
        <x:v>Bez zmian</x:v>
      </x:c>
      <x:c r="N36" t="n">
        <x:f>MAX(1,'Balans — VP3'!F49+MAX(-2,MIN(2,ROUND(($A$6-H36)/(2*'Balans — VP3'!$B$5),0))))</x:f>
        <x:v>1</x:v>
      </x:c>
      <x:c r="O36" t="n">
        <x:f>MAX(1,'Balans — VP3'!G49+MAX(-4,MIN(4,ROUND(($A$6-H36-(N36-'Balans — VP3'!F49)*2*'Balans — VP3'!$B$5)/(2*'Balans — VP3'!$B$6),0))))</x:f>
        <x:v>3</x:v>
      </x:c>
      <x:c r="P36" s="180" t="n">
        <x:f>H36+(N36-'Balans — VP3'!F49)*2*'Balans — VP3'!$B$5+(O36-'Balans — VP3'!G49)*2*'Balans — VP3'!$B$6</x:f>
        <x:v>20.38</x:v>
      </x:c>
      <x:c r="Q36" s="181" t="n">
        <x:f>IFERROR(P36/$A$6-1,0)</x:f>
        <x:v>0.017727840199750267</x:v>
      </x:c>
      <x:c r="R36" t="str">
        <x:f>IF(ABS(Q36)&lt;=$B$6,"W PASMIE","Korekta efektu/skalowania")</x:f>
        <x:v>W PASMIE</x:v>
      </x:c>
    </x:row>
    <x:row r="37" ht="25" customHeight="1">
      <x:c r="A37" t="str">
        <x:f>'Balans — VP3'!A50</x:f>
        <x:v>S21</x:v>
      </x:c>
      <x:c r="B37" t="str">
        <x:f>'Balans — VP3'!B50</x:f>
        <x:v>Potwory</x:v>
      </x:c>
      <x:c r="C37" t="str">
        <x:f>'Balans — VP3'!C50</x:f>
        <x:v>Widmo Otchłani</x:v>
      </x:c>
      <x:c r="D37" t="str">
        <x:f>'Balans — VP3'!D50</x:f>
        <x:v>Przy śmierci</x:v>
      </x:c>
      <x:c r="E37" t="str">
        <x:f>'Balans — VP3'!E50</x:f>
        <x:v>Obrażenia</x:v>
      </x:c>
      <x:c r="F37" s="180" t="n">
        <x:f>'Balans — VP3'!P50</x:f>
        <x:v>5.199999999999999</x:v>
      </x:c>
      <x:c r="G37" s="180" t="n">
        <x:f>'Balans — VP3'!Q50</x:f>
        <x:v>11.8</x:v>
      </x:c>
      <x:c r="H37" s="180" t="n">
        <x:f>F37+G37</x:f>
        <x:v>17</x:v>
      </x:c>
      <x:c r="I37" s="180" t="n">
        <x:f>H37-$A$6</x:f>
        <x:v>-3.0249999999999986</x:v>
      </x:c>
      <x:c r="J37" s="181" t="n">
        <x:f>IFERROR(I37/$A$6,0)</x:f>
        <x:v>-0.1510611735330836</x:v>
      </x:c>
      <x:c r="K37" t="str">
        <x:f>IF(J37&gt;$B$6,"ZA MOCNA",IF(J37&lt;-$B$6,"ZA SŁABA","OK"))</x:f>
        <x:v>ZA SŁABA</x:v>
      </x:c>
      <x:c r="L37" t="n">
        <x:f>$A$6-H37</x:f>
        <x:v>3.0249999999999986</x:v>
      </x:c>
      <x:c r="M37" t="str">
        <x:f>IF(K37="OK","Bez zmian",IF(K37="ZA MOCNA","Obniż bazę lub tempo wzrostu","Podnieś bazę lub efekt"))</x:f>
        <x:v>Podnieś bazę lub efekt</x:v>
      </x:c>
      <x:c r="N37" t="n">
        <x:f>MAX(1,'Balans — VP3'!F50+MAX(-2,MIN(2,ROUND(($A$6-H37)/(2*'Balans — VP3'!$B$5),0))))</x:f>
        <x:v>3</x:v>
      </x:c>
      <x:c r="O37" t="n">
        <x:f>MAX(1,'Balans — VP3'!G50+MAX(-4,MIN(4,ROUND(($A$6-H37-(N37-'Balans — VP3'!F50)*2*'Balans — VP3'!$B$5)/(2*'Balans — VP3'!$B$6),0))))</x:f>
        <x:v>3</x:v>
      </x:c>
      <x:c r="P37" s="180" t="n">
        <x:f>H37+(N37-'Balans — VP3'!F50)*2*'Balans — VP3'!$B$5+(O37-'Balans — VP3'!G50)*2*'Balans — VP3'!$B$6</x:f>
        <x:v>20.1</x:v>
      </x:c>
      <x:c r="Q37" s="181" t="n">
        <x:f>IFERROR(P37/$A$6-1,0)</x:f>
        <x:v>0.0037453183520601563</x:v>
      </x:c>
      <x:c r="R37" t="str">
        <x:f>IF(ABS(Q37)&lt;=$B$6,"W PASMIE","Korekta efektu/skalowania")</x:f>
        <x:v>W PASMIE</x:v>
      </x:c>
    </x:row>
    <x:row r="38" ht="25" customHeight="1">
      <x:c r="A38" t="str">
        <x:f>'Balans — VP3'!A51</x:f>
        <x:v>S17</x:v>
      </x:c>
      <x:c r="B38" t="str">
        <x:f>'Balans — VP3'!B51</x:f>
        <x:v>Potwory</x:v>
      </x:c>
      <x:c r="C38" t="str">
        <x:f>'Balans — VP3'!C51</x:f>
        <x:v>Duch Ostatniej Łaski</x:v>
      </x:c>
      <x:c r="D38" t="str">
        <x:f>'Balans — VP3'!D51</x:f>
        <x:v>Przy śmierci</x:v>
      </x:c>
      <x:c r="E38" t="str">
        <x:f>'Balans — VP3'!E51</x:f>
        <x:v>Leczenie</x:v>
      </x:c>
      <x:c r="F38" s="180" t="n">
        <x:f>'Balans — VP3'!P51</x:f>
        <x:v>9.299999999999999</x:v>
      </x:c>
      <x:c r="G38" s="180" t="n">
        <x:f>'Balans — VP3'!Q51</x:f>
        <x:v>12.45</x:v>
      </x:c>
      <x:c r="H38" s="180" t="n">
        <x:f>F38+G38</x:f>
        <x:v>21.75</x:v>
      </x:c>
      <x:c r="I38" s="180" t="n">
        <x:f>H38-$A$6</x:f>
        <x:v>1.7250000000000014</x:v>
      </x:c>
      <x:c r="J38" s="181" t="n">
        <x:f>IFERROR(I38/$A$6,0)</x:f>
        <x:v>0.08614232209737835</x:v>
      </x:c>
      <x:c r="K38" t="str">
        <x:f>IF(J38&gt;$B$6,"ZA MOCNA",IF(J38&lt;-$B$6,"ZA SŁABA","OK"))</x:f>
        <x:v>OK</x:v>
      </x:c>
      <x:c r="L38" t="n">
        <x:f>$A$6-H38</x:f>
        <x:v>-1.7250000000000014</x:v>
      </x:c>
      <x:c r="M38" t="str">
        <x:f>IF(K38="OK","Bez zmian",IF(K38="ZA MOCNA","Obniż bazę lub tempo wzrostu","Podnieś bazę lub efekt"))</x:f>
        <x:v>Bez zmian</x:v>
      </x:c>
      <x:c r="N38" t="n">
        <x:f>MAX(1,'Balans — VP3'!F51+MAX(-2,MIN(2,ROUND(($A$6-H38)/(2*'Balans — VP3'!$B$5),0))))</x:f>
        <x:v>2</x:v>
      </x:c>
      <x:c r="O38" t="n">
        <x:f>MAX(1,'Balans — VP3'!G51+MAX(-4,MIN(4,ROUND(($A$6-H38-(N38-'Balans — VP3'!F51)*2*'Balans — VP3'!$B$5)/(2*'Balans — VP3'!$B$6),0))))</x:f>
        <x:v>8</x:v>
      </x:c>
      <x:c r="P38" s="180" t="n">
        <x:f>H38+(N38-'Balans — VP3'!F51)*2*'Balans — VP3'!$B$5+(O38-'Balans — VP3'!G51)*2*'Balans — VP3'!$B$6</x:f>
        <x:v>19.75</x:v>
      </x:c>
      <x:c r="Q38" s="181" t="n">
        <x:f>IFERROR(P38/$A$6-1,0)</x:f>
        <x:v>-0.013732833957552981</x:v>
      </x:c>
      <x:c r="R38" t="str">
        <x:f>IF(ABS(Q38)&lt;=$B$6,"W PASMIE","Korekta efektu/skalowania")</x:f>
        <x:v>W PASMIE</x:v>
      </x:c>
    </x:row>
    <x:row r="39" ht="25" customHeight="1">
      <x:c r="A39" t="str">
        <x:f>'Balans — VP3'!A52</x:f>
        <x:v>S23</x:v>
      </x:c>
      <x:c r="B39" t="str">
        <x:f>'Balans — VP3'!B52</x:f>
        <x:v>Potwory</x:v>
      </x:c>
      <x:c r="C39" t="str">
        <x:f>'Balans — VP3'!C52</x:f>
        <x:v>Klątwonosiciel</x:v>
      </x:c>
      <x:c r="D39" t="str">
        <x:f>'Balans — VP3'!D52</x:f>
        <x:v>Przy śmierci</x:v>
      </x:c>
      <x:c r="E39" t="str">
        <x:f>'Balans — VP3'!E52</x:f>
        <x:v>ATK ±</x:v>
      </x:c>
      <x:c r="F39" s="180" t="n">
        <x:f>'Balans — VP3'!P52</x:f>
        <x:v>4.63</x:v>
      </x:c>
      <x:c r="G39" s="180" t="n">
        <x:f>'Balans — VP3'!Q52</x:f>
        <x:v>11.2</x:v>
      </x:c>
      <x:c r="H39" s="180" t="n">
        <x:f>F39+G39</x:f>
        <x:v>15.829999999999998</x:v>
      </x:c>
      <x:c r="I39" s="180" t="n">
        <x:f>H39-$A$6</x:f>
        <x:v>-4.195</x:v>
      </x:c>
      <x:c r="J39" s="181" t="n">
        <x:f>IFERROR(I39/$A$6,0)</x:f>
        <x:v>-0.2094881398252185</x:v>
      </x:c>
      <x:c r="K39" t="str">
        <x:f>IF(J39&gt;$B$6,"ZA MOCNA",IF(J39&lt;-$B$6,"ZA SŁABA","OK"))</x:f>
        <x:v>ZA SŁABA</x:v>
      </x:c>
      <x:c r="L39" t="n">
        <x:f>$A$6-H39</x:f>
        <x:v>4.195</x:v>
      </x:c>
      <x:c r="M39" t="str">
        <x:f>IF(K39="OK","Bez zmian",IF(K39="ZA MOCNA","Obniż bazę lub tempo wzrostu","Podnieś bazę lub efekt"))</x:f>
        <x:v>Podnieś bazę lub efekt</x:v>
      </x:c>
      <x:c r="N39" t="n">
        <x:f>MAX(1,'Balans — VP3'!F52+MAX(-2,MIN(2,ROUND(($A$6-H39)/(2*'Balans — VP3'!$B$5),0))))</x:f>
        <x:v>3</x:v>
      </x:c>
      <x:c r="O39" t="n">
        <x:f>MAX(1,'Balans — VP3'!G52+MAX(-4,MIN(4,ROUND(($A$6-H39-(N39-'Balans — VP3'!F52)*2*'Balans — VP3'!$B$5)/(2*'Balans — VP3'!$B$6),0))))</x:f>
        <x:v>3</x:v>
      </x:c>
      <x:c r="P39" s="180" t="n">
        <x:f>H39+(N39-'Balans — VP3'!F52)*2*'Balans — VP3'!$B$5+(O39-'Balans — VP3'!G52)*2*'Balans — VP3'!$B$6</x:f>
        <x:v>19.83</x:v>
      </x:c>
      <x:c r="Q39" s="181" t="n">
        <x:f>IFERROR(P39/$A$6-1,0)</x:f>
        <x:v>-0.009737827715355807</x:v>
      </x:c>
      <x:c r="R39" t="str">
        <x:f>IF(ABS(Q39)&lt;=$B$6,"W PASMIE","Korekta efektu/skalowania")</x:f>
        <x:v>W PASMIE</x:v>
      </x:c>
    </x:row>
    <x:row r="40" ht="25" customHeight="1">
      <x:c r="A40" t="str">
        <x:f>'Balans — VP3'!A53</x:f>
        <x:v>S81</x:v>
      </x:c>
      <x:c r="B40" t="str">
        <x:f>'Balans — VP3'!B53</x:f>
        <x:v>Potwory</x:v>
      </x:c>
      <x:c r="C40" t="str">
        <x:f>'Balans — VP3'!C53</x:f>
        <x:v>Krwawy Homunkulus</x:v>
      </x:c>
      <x:c r="D40" t="str">
        <x:f>'Balans — VP3'!D53</x:f>
        <x:v>Przy śmierci</x:v>
      </x:c>
      <x:c r="E40" t="str">
        <x:f>'Balans — VP3'!E53</x:f>
        <x:v>MAX HP ±</x:v>
      </x:c>
      <x:c r="F40" s="180" t="n">
        <x:f>'Balans — VP3'!P53</x:f>
        <x:v>8.8</x:v>
      </x:c>
      <x:c r="G40" s="180" t="n">
        <x:f>'Balans — VP3'!Q53</x:f>
        <x:v>11.830000000000002</x:v>
      </x:c>
      <x:c r="H40" s="180" t="n">
        <x:f>F40+G40</x:f>
        <x:v>20.630000000000003</x:v>
      </x:c>
      <x:c r="I40" s="180" t="n">
        <x:f>H40-$A$6</x:f>
        <x:v>0.605000000000004</x:v>
      </x:c>
      <x:c r="J40" s="181" t="n">
        <x:f>IFERROR(I40/$A$6,0)</x:f>
        <x:v>0.03021223470661693</x:v>
      </x:c>
      <x:c r="K40" t="str">
        <x:f>IF(J40&gt;$B$6,"ZA MOCNA",IF(J40&lt;-$B$6,"ZA SŁABA","OK"))</x:f>
        <x:v>OK</x:v>
      </x:c>
      <x:c r="L40" t="n">
        <x:f>$A$6-H40</x:f>
        <x:v>-0.605000000000004</x:v>
      </x:c>
      <x:c r="M40" t="str">
        <x:f>IF(K40="OK","Bez zmian",IF(K40="ZA MOCNA","Obniż bazę lub tempo wzrostu","Podnieś bazę lub efekt"))</x:f>
        <x:v>Bez zmian</x:v>
      </x:c>
      <x:c r="N40" t="n">
        <x:f>MAX(1,'Balans — VP3'!F53+MAX(-2,MIN(2,ROUND(($A$6-H40)/(2*'Balans — VP3'!$B$5),0))))</x:f>
        <x:v>4</x:v>
      </x:c>
      <x:c r="O40" t="n">
        <x:f>MAX(1,'Balans — VP3'!G53+MAX(-4,MIN(4,ROUND(($A$6-H40-(N40-'Balans — VP3'!F53)*2*'Balans — VP3'!$B$5)/(2*'Balans — VP3'!$B$6),0))))</x:f>
        <x:v>6</x:v>
      </x:c>
      <x:c r="P40" s="180" t="n">
        <x:f>H40+(N40-'Balans — VP3'!F53)*2*'Balans — VP3'!$B$5+(O40-'Balans — VP3'!G53)*2*'Balans — VP3'!$B$6</x:f>
        <x:v>19.730000000000004</x:v>
      </x:c>
      <x:c r="Q40" s="181" t="n">
        <x:f>IFERROR(P40/$A$6-1,0)</x:f>
        <x:v>-0.014731585518102053</x:v>
      </x:c>
      <x:c r="R40" t="str">
        <x:f>IF(ABS(Q40)&lt;=$B$6,"W PASMIE","Korekta efektu/skalowania")</x:f>
        <x:v>W PASMIE</x:v>
      </x:c>
    </x:row>
    <x:row r="41" ht="25" customHeight="1">
      <x:c r="A41" t="str">
        <x:f>'Balans — VP3'!A54</x:f>
        <x:v>S82</x:v>
      </x:c>
      <x:c r="B41" t="str">
        <x:f>'Balans — VP3'!B54</x:f>
        <x:v>Potwory</x:v>
      </x:c>
      <x:c r="C41" t="str">
        <x:f>'Balans — VP3'!C54</x:f>
        <x:v>Golem Grobowy</x:v>
      </x:c>
      <x:c r="D41" t="str">
        <x:f>'Balans — VP3'!D54</x:f>
        <x:v>Przy śmierci</x:v>
      </x:c>
      <x:c r="E41" t="str">
        <x:f>'Balans — VP3'!E54</x:f>
        <x:v>Pancerz</x:v>
      </x:c>
      <x:c r="F41" s="180" t="n">
        <x:f>'Balans — VP3'!P54</x:f>
        <x:v>8.49</x:v>
      </x:c>
      <x:c r="G41" s="180" t="n">
        <x:f>'Balans — VP3'!Q54</x:f>
        <x:v>11.580000000000002</x:v>
      </x:c>
      <x:c r="H41" s="180" t="n">
        <x:f>F41+G41</x:f>
        <x:v>20.07</x:v>
      </x:c>
      <x:c r="I41" s="180" t="n">
        <x:f>H41-$A$6</x:f>
        <x:v>0.045000000000001705</x:v>
      </x:c>
      <x:c r="J41" s="181" t="n">
        <x:f>IFERROR(I41/$A$6,0)</x:f>
        <x:v>0.0022471910112360403</x:v>
      </x:c>
      <x:c r="K41" t="str">
        <x:f>IF(J41&gt;$B$6,"ZA MOCNA",IF(J41&lt;-$B$6,"ZA SŁABA","OK"))</x:f>
        <x:v>OK</x:v>
      </x:c>
      <x:c r="L41" t="n">
        <x:f>$A$6-H41</x:f>
        <x:v>-0.045000000000001705</x:v>
      </x:c>
      <x:c r="M41" t="str">
        <x:f>IF(K41="OK","Bez zmian",IF(K41="ZA MOCNA","Obniż bazę lub tempo wzrostu","Podnieś bazę lub efekt"))</x:f>
        <x:v>Bez zmian</x:v>
      </x:c>
      <x:c r="N41" t="n">
        <x:f>MAX(1,'Balans — VP3'!F54+MAX(-2,MIN(2,ROUND(($A$6-H41)/(2*'Balans — VP3'!$B$5),0))))</x:f>
        <x:v>3</x:v>
      </x:c>
      <x:c r="O41" t="n">
        <x:f>MAX(1,'Balans — VP3'!G54+MAX(-4,MIN(4,ROUND(($A$6-H41-(N41-'Balans — VP3'!F54)*2*'Balans — VP3'!$B$5)/(2*'Balans — VP3'!$B$6),0))))</x:f>
        <x:v>7</x:v>
      </x:c>
      <x:c r="P41" s="180" t="n">
        <x:f>H41+(N41-'Balans — VP3'!F54)*2*'Balans — VP3'!$B$5+(O41-'Balans — VP3'!G54)*2*'Balans — VP3'!$B$6</x:f>
        <x:v>20.07</x:v>
      </x:c>
      <x:c r="Q41" s="181" t="n">
        <x:f>IFERROR(P41/$A$6-1,0)</x:f>
        <x:v>0.0022471910112360494</x:v>
      </x:c>
      <x:c r="R41" t="str">
        <x:f>IF(ABS(Q41)&lt;=$B$6,"W PASMIE","Korekta efektu/skalowania")</x:f>
        <x:v>W PASMIE</x:v>
      </x:c>
    </x:row>
    <x:row r="42" ht="25" customHeight="1">
      <x:c r="A42" t="str">
        <x:f>'Balans — VP3'!A55</x:f>
        <x:v>S20</x:v>
      </x:c>
      <x:c r="B42" t="str">
        <x:f>'Balans — VP3'!B55</x:f>
        <x:v>Potwory</x:v>
      </x:c>
      <x:c r="C42" t="str">
        <x:f>'Balans — VP3'!C55</x:f>
        <x:v>Strażnik Mauzoleum</x:v>
      </x:c>
      <x:c r="D42" t="str">
        <x:f>'Balans — VP3'!D55</x:f>
        <x:v>Przy śmierci</x:v>
      </x:c>
      <x:c r="E42" t="str">
        <x:f>'Balans — VP3'!E55</x:f>
        <x:v>Tarcza</x:v>
      </x:c>
      <x:c r="F42" s="180" t="n">
        <x:f>'Balans — VP3'!P55</x:f>
        <x:v>8.95</x:v>
      </x:c>
      <x:c r="G42" s="180" t="n">
        <x:f>'Balans — VP3'!Q55</x:f>
        <x:v>13</x:v>
      </x:c>
      <x:c r="H42" s="180" t="n">
        <x:f>F42+G42</x:f>
        <x:v>21.95</x:v>
      </x:c>
      <x:c r="I42" s="180" t="n">
        <x:f>H42-$A$6</x:f>
        <x:v>1.9250000000000007</x:v>
      </x:c>
      <x:c r="J42" s="181" t="n">
        <x:f>IFERROR(I42/$A$6,0)</x:f>
        <x:v>0.09612983770287145</x:v>
      </x:c>
      <x:c r="K42" t="str">
        <x:f>IF(J42&gt;$B$6,"ZA MOCNA",IF(J42&lt;-$B$6,"ZA SŁABA","OK"))</x:f>
        <x:v>OK</x:v>
      </x:c>
      <x:c r="L42" t="n">
        <x:f>$A$6-H42</x:f>
        <x:v>-1.9250000000000007</x:v>
      </x:c>
      <x:c r="M42" t="str">
        <x:f>IF(K42="OK","Bez zmian",IF(K42="ZA MOCNA","Obniż bazę lub tempo wzrostu","Podnieś bazę lub efekt"))</x:f>
        <x:v>Bez zmian</x:v>
      </x:c>
      <x:c r="N42" t="n">
        <x:f>MAX(1,'Balans — VP3'!F55+MAX(-2,MIN(2,ROUND(($A$6-H42)/(2*'Balans — VP3'!$B$5),0))))</x:f>
        <x:v>3</x:v>
      </x:c>
      <x:c r="O42" t="n">
        <x:f>MAX(1,'Balans — VP3'!G55+MAX(-4,MIN(4,ROUND(($A$6-H42-(N42-'Balans — VP3'!F55)*2*'Balans — VP3'!$B$5)/(2*'Balans — VP3'!$B$6),0))))</x:f>
        <x:v>7</x:v>
      </x:c>
      <x:c r="P42" s="180" t="n">
        <x:f>H42+(N42-'Balans — VP3'!F55)*2*'Balans — VP3'!$B$5+(O42-'Balans — VP3'!G55)*2*'Balans — VP3'!$B$6</x:f>
        <x:v>19.95</x:v>
      </x:c>
      <x:c r="Q42" s="181" t="n">
        <x:f>IFERROR(P42/$A$6-1,0)</x:f>
        <x:v>-0.0037453183520599342</x:v>
      </x:c>
      <x:c r="R42" t="str">
        <x:f>IF(ABS(Q42)&lt;=$B$6,"W PASMIE","Korekta efektu/skalowania")</x:f>
        <x:v>W PASMIE</x:v>
      </x:c>
    </x:row>
    <x:row r="43" ht="25" customHeight="1">
      <x:c r="A43" t="str">
        <x:f>'Balans — VP3'!A56</x:f>
        <x:v>S83</x:v>
      </x:c>
      <x:c r="B43" t="str">
        <x:f>'Balans — VP3'!B56</x:f>
        <x:v>Potwory</x:v>
      </x:c>
      <x:c r="C43" t="str">
        <x:f>'Balans — VP3'!C56</x:f>
        <x:v>Nosiciel Plagi</x:v>
      </x:c>
      <x:c r="D43" t="str">
        <x:f>'Balans — VP3'!D56</x:f>
        <x:v>Przy śmierci</x:v>
      </x:c>
      <x:c r="E43" t="str">
        <x:f>'Balans — VP3'!E56</x:f>
        <x:v>Trucizna</x:v>
      </x:c>
      <x:c r="F43" s="180" t="n">
        <x:f>'Balans — VP3'!P56</x:f>
        <x:v>5.05</x:v>
      </x:c>
      <x:c r="G43" s="180" t="n">
        <x:f>'Balans — VP3'!Q56</x:f>
        <x:v>11.95</x:v>
      </x:c>
      <x:c r="H43" s="180" t="n">
        <x:f>F43+G43</x:f>
        <x:v>17</x:v>
      </x:c>
      <x:c r="I43" s="180" t="n">
        <x:f>H43-$A$6</x:f>
        <x:v>-3.0249999999999986</x:v>
      </x:c>
      <x:c r="J43" s="181" t="n">
        <x:f>IFERROR(I43/$A$6,0)</x:f>
        <x:v>-0.1510611735330836</x:v>
      </x:c>
      <x:c r="K43" t="str">
        <x:f>IF(J43&gt;$B$6,"ZA MOCNA",IF(J43&lt;-$B$6,"ZA SŁABA","OK"))</x:f>
        <x:v>ZA SŁABA</x:v>
      </x:c>
      <x:c r="L43" t="n">
        <x:f>$A$6-H43</x:f>
        <x:v>3.0249999999999986</x:v>
      </x:c>
      <x:c r="M43" t="str">
        <x:f>IF(K43="OK","Bez zmian",IF(K43="ZA MOCNA","Obniż bazę lub tempo wzrostu","Podnieś bazę lub efekt"))</x:f>
        <x:v>Podnieś bazę lub efekt</x:v>
      </x:c>
      <x:c r="N43" t="n">
        <x:f>MAX(1,'Balans — VP3'!F56+MAX(-2,MIN(2,ROUND(($A$6-H43)/(2*'Balans — VP3'!$B$5),0))))</x:f>
        <x:v>3</x:v>
      </x:c>
      <x:c r="O43" t="n">
        <x:f>MAX(1,'Balans — VP3'!G56+MAX(-4,MIN(4,ROUND(($A$6-H43-(N43-'Balans — VP3'!F56)*2*'Balans — VP3'!$B$5)/(2*'Balans — VP3'!$B$6),0))))</x:f>
        <x:v>4</x:v>
      </x:c>
      <x:c r="P43" s="180" t="n">
        <x:f>H43+(N43-'Balans — VP3'!F56)*2*'Balans — VP3'!$B$5+(O43-'Balans — VP3'!G56)*2*'Balans — VP3'!$B$6</x:f>
        <x:v>20.1</x:v>
      </x:c>
      <x:c r="Q43" s="181" t="n">
        <x:f>IFERROR(P43/$A$6-1,0)</x:f>
        <x:v>0.0037453183520601563</x:v>
      </x:c>
      <x:c r="R43" t="str">
        <x:f>IF(ABS(Q43)&lt;=$B$6,"W PASMIE","Korekta efektu/skalowania")</x:f>
        <x:v>W PASMIE</x:v>
      </x:c>
    </x:row>
    <x:row r="44" ht="25" customHeight="1">
      <x:c r="A44" t="str">
        <x:f>'Balans — VP3'!A57</x:f>
        <x:v>S84</x:v>
      </x:c>
      <x:c r="B44" t="str">
        <x:f>'Balans — VP3'!B57</x:f>
        <x:v>Potwory</x:v>
      </x:c>
      <x:c r="C44" t="str">
        <x:f>'Balans — VP3'!C57</x:f>
        <x:v>Banshee Krzyku</x:v>
      </x:c>
      <x:c r="D44" t="str">
        <x:f>'Balans — VP3'!D57</x:f>
        <x:v>Przy śmierci</x:v>
      </x:c>
      <x:c r="E44" t="str">
        <x:f>'Balans — VP3'!E57</x:f>
        <x:v>Ogłuszenie</x:v>
      </x:c>
      <x:c r="F44" s="180" t="n">
        <x:f>'Balans — VP3'!P57</x:f>
        <x:v>4.3</x:v>
      </x:c>
      <x:c r="G44" s="180" t="n">
        <x:f>'Balans — VP3'!Q57</x:f>
        <x:v>10.15</x:v>
      </x:c>
      <x:c r="H44" s="180" t="n">
        <x:f>F44+G44</x:f>
        <x:v>14.45</x:v>
      </x:c>
      <x:c r="I44" s="180" t="n">
        <x:f>H44-$A$6</x:f>
        <x:v>-5.574999999999999</x:v>
      </x:c>
      <x:c r="J44" s="181" t="n">
        <x:f>IFERROR(I44/$A$6,0)</x:f>
        <x:v>-0.27840199750312106</x:v>
      </x:c>
      <x:c r="K44" t="str">
        <x:f>IF(J44&gt;$B$6,"ZA MOCNA",IF(J44&lt;-$B$6,"ZA SŁABA","OK"))</x:f>
        <x:v>ZA SŁABA</x:v>
      </x:c>
      <x:c r="L44" t="n">
        <x:f>$A$6-H44</x:f>
        <x:v>5.574999999999999</x:v>
      </x:c>
      <x:c r="M44" t="str">
        <x:f>IF(K44="OK","Bez zmian",IF(K44="ZA MOCNA","Obniż bazę lub tempo wzrostu","Podnieś bazę lub efekt"))</x:f>
        <x:v>Podnieś bazę lub efekt</x:v>
      </x:c>
      <x:c r="N44" t="n">
        <x:f>MAX(1,'Balans — VP3'!F57+MAX(-2,MIN(2,ROUND(($A$6-H44)/(2*'Balans — VP3'!$B$5),0))))</x:f>
        <x:v>3</x:v>
      </x:c>
      <x:c r="O44" t="n">
        <x:f>MAX(1,'Balans — VP3'!G57+MAX(-4,MIN(4,ROUND(($A$6-H44-(N44-'Balans — VP3'!F57)*2*'Balans — VP3'!$B$5)/(2*'Balans — VP3'!$B$6),0))))</x:f>
        <x:v>6</x:v>
      </x:c>
      <x:c r="P44" s="180" t="n">
        <x:f>H44+(N44-'Balans — VP3'!F57)*2*'Balans — VP3'!$B$5+(O44-'Balans — VP3'!G57)*2*'Balans — VP3'!$B$6</x:f>
        <x:v>20.25</x:v>
      </x:c>
      <x:c r="Q44" s="181" t="n">
        <x:f>IFERROR(P44/$A$6-1,0)</x:f>
        <x:v>0.011235955056179803</x:v>
      </x:c>
      <x:c r="R44" t="str">
        <x:f>IF(ABS(Q44)&lt;=$B$6,"W PASMIE","Korekta efektu/skalowania")</x:f>
        <x:v>W PASMIE</x:v>
      </x:c>
    </x:row>
    <x:row r="45" ht="25" customHeight="1">
      <x:c r="A45" t="str">
        <x:f>'Balans — VP3'!A58</x:f>
        <x:v>S85</x:v>
      </x:c>
      <x:c r="B45" t="str">
        <x:f>'Balans — VP3'!B58</x:f>
        <x:v>Potwory</x:v>
      </x:c>
      <x:c r="C45" t="str">
        <x:f>'Balans — VP3'!C58</x:f>
        <x:v>Życiodajne Widmo</x:v>
      </x:c>
      <x:c r="D45" t="str">
        <x:f>'Balans — VP3'!D58</x:f>
        <x:v>Przy śmierci</x:v>
      </x:c>
      <x:c r="E45" t="str">
        <x:f>'Balans — VP3'!E58</x:f>
        <x:v>Regeneracja</x:v>
      </x:c>
      <x:c r="F45" s="180" t="n">
        <x:f>'Balans — VP3'!P58</x:f>
        <x:v>7.23</x:v>
      </x:c>
      <x:c r="G45" s="180" t="n">
        <x:f>'Balans — VP3'!Q58</x:f>
        <x:v>10.440000000000001</x:v>
      </x:c>
      <x:c r="H45" s="180" t="n">
        <x:f>F45+G45</x:f>
        <x:v>17.67</x:v>
      </x:c>
      <x:c r="I45" s="180" t="n">
        <x:f>H45-$A$6</x:f>
        <x:v>-2.354999999999997</x:v>
      </x:c>
      <x:c r="J45" s="181" t="n">
        <x:f>IFERROR(I45/$A$6,0)</x:f>
        <x:v>-0.1176029962546815</x:v>
      </x:c>
      <x:c r="K45" t="str">
        <x:f>IF(J45&gt;$B$6,"ZA MOCNA",IF(J45&lt;-$B$6,"ZA SŁABA","OK"))</x:f>
        <x:v>OK</x:v>
      </x:c>
      <x:c r="L45" t="n">
        <x:f>$A$6-H45</x:f>
        <x:v>2.354999999999997</x:v>
      </x:c>
      <x:c r="M45" t="str">
        <x:f>IF(K45="OK","Bez zmian",IF(K45="ZA MOCNA","Obniż bazę lub tempo wzrostu","Podnieś bazę lub efekt"))</x:f>
        <x:v>Bez zmian</x:v>
      </x:c>
      <x:c r="N45" t="n">
        <x:f>MAX(1,'Balans — VP3'!F58+MAX(-2,MIN(2,ROUND(($A$6-H45)/(2*'Balans — VP3'!$B$5),0))))</x:f>
        <x:v>4</x:v>
      </x:c>
      <x:c r="O45" t="n">
        <x:f>MAX(1,'Balans — VP3'!G58+MAX(-4,MIN(4,ROUND(($A$6-H45-(N45-'Balans — VP3'!F58)*2*'Balans — VP3'!$B$5)/(2*'Balans — VP3'!$B$6),0))))</x:f>
        <x:v>6</x:v>
      </x:c>
      <x:c r="P45" s="180" t="n">
        <x:f>H45+(N45-'Balans — VP3'!F58)*2*'Balans — VP3'!$B$5+(O45-'Balans — VP3'!G58)*2*'Balans — VP3'!$B$6</x:f>
        <x:v>19.67</x:v>
      </x:c>
      <x:c r="Q45" s="181" t="n">
        <x:f>IFERROR(P45/$A$6-1,0)</x:f>
        <x:v>-0.017727840199750156</x:v>
      </x:c>
      <x:c r="R45" t="str">
        <x:f>IF(ABS(Q45)&lt;=$B$6,"W PASMIE","Korekta efektu/skalowania")</x:f>
        <x:v>W PASMIE</x:v>
      </x:c>
    </x:row>
    <x:row r="46" ht="25" customHeight="1">
      <x:c r="A46" t="str">
        <x:f>'Balans — VP3'!A59</x:f>
        <x:v>S86</x:v>
      </x:c>
      <x:c r="B46" t="str">
        <x:f>'Balans — VP3'!B59</x:f>
        <x:v>Potwory</x:v>
      </x:c>
      <x:c r="C46" t="str">
        <x:f>'Balans — VP3'!C59</x:f>
        <x:v>Trupi Wartownik</x:v>
      </x:c>
      <x:c r="D46" t="str">
        <x:f>'Balans — VP3'!D59</x:f>
        <x:v>Przy śmierci</x:v>
      </x:c>
      <x:c r="E46" t="str">
        <x:f>'Balans — VP3'!E59</x:f>
        <x:v>Prowokacja</x:v>
      </x:c>
      <x:c r="F46" s="180" t="n">
        <x:f>'Balans — VP3'!P59</x:f>
        <x:v>8.49</x:v>
      </x:c>
      <x:c r="G46" s="180" t="n">
        <x:f>'Balans — VP3'!Q59</x:f>
        <x:v>12.54</x:v>
      </x:c>
      <x:c r="H46" s="180" t="n">
        <x:f>F46+G46</x:f>
        <x:v>21.03</x:v>
      </x:c>
      <x:c r="I46" s="180" t="n">
        <x:f>H46-$A$6</x:f>
        <x:v>1.0050000000000026</x:v>
      </x:c>
      <x:c r="J46" s="181" t="n">
        <x:f>IFERROR(I46/$A$6,0)</x:f>
        <x:v>0.05018726591760313</x:v>
      </x:c>
      <x:c r="K46" t="str">
        <x:f>IF(J46&gt;$B$6,"ZA MOCNA",IF(J46&lt;-$B$6,"ZA SŁABA","OK"))</x:f>
        <x:v>OK</x:v>
      </x:c>
      <x:c r="L46" t="n">
        <x:f>$A$6-H46</x:f>
        <x:v>-1.0050000000000026</x:v>
      </x:c>
      <x:c r="M46" t="str">
        <x:f>IF(K46="OK","Bez zmian",IF(K46="ZA MOCNA","Obniż bazę lub tempo wzrostu","Podnieś bazę lub efekt"))</x:f>
        <x:v>Bez zmian</x:v>
      </x:c>
      <x:c r="N46" t="n">
        <x:f>MAX(1,'Balans — VP3'!F59+MAX(-2,MIN(2,ROUND(($A$6-H46)/(2*'Balans — VP3'!$B$5),0))))</x:f>
        <x:v>2</x:v>
      </x:c>
      <x:c r="O46" t="n">
        <x:f>MAX(1,'Balans — VP3'!G59+MAX(-4,MIN(4,ROUND(($A$6-H46-(N46-'Balans — VP3'!F59)*2*'Balans — VP3'!$B$5)/(2*'Balans — VP3'!$B$6),0))))</x:f>
        <x:v>10</x:v>
      </x:c>
      <x:c r="P46" s="180" t="n">
        <x:f>H46+(N46-'Balans — VP3'!F59)*2*'Balans — VP3'!$B$5+(O46-'Balans — VP3'!G59)*2*'Balans — VP3'!$B$6</x:f>
        <x:v>19.93</x:v>
      </x:c>
      <x:c r="Q46" s="181" t="n">
        <x:f>IFERROR(P46/$A$6-1,0)</x:f>
        <x:v>-0.004744069912609228</x:v>
      </x:c>
      <x:c r="R46" t="str">
        <x:f>IF(ABS(Q46)&lt;=$B$6,"W PASMIE","Korekta efektu/skalowania")</x:f>
        <x:v>W PASMIE</x:v>
      </x:c>
    </x:row>
    <x:row r="47" ht="25" customHeight="1">
      <x:c r="A47" t="str">
        <x:f>'Balans — VP3'!A60</x:f>
        <x:v>S87</x:v>
      </x:c>
      <x:c r="B47" t="str">
        <x:f>'Balans — VP3'!B60</x:f>
        <x:v>Potwory</x:v>
      </x:c>
      <x:c r="C47" t="str">
        <x:f>'Balans — VP3'!C60</x:f>
        <x:v>Widmo Rozproszenia</x:v>
      </x:c>
      <x:c r="D47" t="str">
        <x:f>'Balans — VP3'!D60</x:f>
        <x:v>Przy śmierci</x:v>
      </x:c>
      <x:c r="E47" t="str">
        <x:f>'Balans — VP3'!E60</x:f>
        <x:v>Oczyszczanie</x:v>
      </x:c>
      <x:c r="F47" s="180" t="n">
        <x:f>'Balans — VP3'!P60</x:f>
        <x:v>5.74</x:v>
      </x:c>
      <x:c r="G47" s="180" t="n">
        <x:f>'Balans — VP3'!Q60</x:f>
        <x:v>11.110000000000001</x:v>
      </x:c>
      <x:c r="H47" s="180" t="n">
        <x:f>F47+G47</x:f>
        <x:v>16.85</x:v>
      </x:c>
      <x:c r="I47" s="180" t="n">
        <x:f>H47-$A$6</x:f>
        <x:v>-3.174999999999997</x:v>
      </x:c>
      <x:c r="J47" s="181" t="n">
        <x:f>IFERROR(I47/$A$6,0)</x:f>
        <x:v>-0.15855181023720336</x:v>
      </x:c>
      <x:c r="K47" t="str">
        <x:f>IF(J47&gt;$B$6,"ZA MOCNA",IF(J47&lt;-$B$6,"ZA SŁABA","OK"))</x:f>
        <x:v>ZA SŁABA</x:v>
      </x:c>
      <x:c r="L47" t="n">
        <x:f>$A$6-H47</x:f>
        <x:v>3.174999999999997</x:v>
      </x:c>
      <x:c r="M47" t="str">
        <x:f>IF(K47="OK","Bez zmian",IF(K47="ZA MOCNA","Obniż bazę lub tempo wzrostu","Podnieś bazę lub efekt"))</x:f>
        <x:v>Podnieś bazę lub efekt</x:v>
      </x:c>
      <x:c r="N47" t="n">
        <x:f>MAX(1,'Balans — VP3'!F60+MAX(-2,MIN(2,ROUND(($A$6-H47)/(2*'Balans — VP3'!$B$5),0))))</x:f>
        <x:v>3</x:v>
      </x:c>
      <x:c r="O47" t="n">
        <x:f>MAX(1,'Balans — VP3'!G60+MAX(-4,MIN(4,ROUND(($A$6-H47-(N47-'Balans — VP3'!F60)*2*'Balans — VP3'!$B$5)/(2*'Balans — VP3'!$B$6),0))))</x:f>
        <x:v>5</x:v>
      </x:c>
      <x:c r="P47" s="180" t="n">
        <x:f>H47+(N47-'Balans — VP3'!F60)*2*'Balans — VP3'!$B$5+(O47-'Balans — VP3'!G60)*2*'Balans — VP3'!$B$6</x:f>
        <x:v>19.950000000000003</x:v>
      </x:c>
      <x:c r="Q47" s="181" t="n">
        <x:f>IFERROR(P47/$A$6-1,0)</x:f>
        <x:v>-0.003745318352059712</x:v>
      </x:c>
      <x:c r="R47" t="str">
        <x:f>IF(ABS(Q47)&lt;=$B$6,"W PASMIE","Korekta efektu/skalowania")</x:f>
        <x:v>W PASMIE</x:v>
      </x:c>
    </x:row>
    <x:row r="48" ht="25" customHeight="1">
      <x:c r="A48" t="str">
        <x:f>'Balans — VP3'!A61</x:f>
        <x:v>S88</x:v>
      </x:c>
      <x:c r="B48" t="str">
        <x:f>'Balans — VP3'!B61</x:f>
        <x:v>Potwory</x:v>
      </x:c>
      <x:c r="C48" t="str">
        <x:f>'Balans — VP3'!C61</x:f>
        <x:v>Grobowy Antymag</x:v>
      </x:c>
      <x:c r="D48" t="str">
        <x:f>'Balans — VP3'!D61</x:f>
        <x:v>Przy śmierci</x:v>
      </x:c>
      <x:c r="E48" t="str">
        <x:f>'Balans — VP3'!E61</x:f>
        <x:v>Odporność</x:v>
      </x:c>
      <x:c r="F48" s="180" t="n">
        <x:f>'Balans — VP3'!P61</x:f>
        <x:v>7.99</x:v>
      </x:c>
      <x:c r="G48" s="180" t="n">
        <x:f>'Balans — VP3'!Q61</x:f>
        <x:v>11.530000000000001</x:v>
      </x:c>
      <x:c r="H48" s="180" t="n">
        <x:f>F48+G48</x:f>
        <x:v>19.520000000000003</x:v>
      </x:c>
      <x:c r="I48" s="180" t="n">
        <x:f>H48-$A$6</x:f>
        <x:v>-0.5049999999999955</x:v>
      </x:c>
      <x:c r="J48" s="181" t="n">
        <x:f>IFERROR(I48/$A$6,0)</x:f>
        <x:v>-0.025218476903869937</x:v>
      </x:c>
      <x:c r="K48" t="str">
        <x:f>IF(J48&gt;$B$6,"ZA MOCNA",IF(J48&lt;-$B$6,"ZA SŁABA","OK"))</x:f>
        <x:v>OK</x:v>
      </x:c>
      <x:c r="L48" t="n">
        <x:f>$A$6-H48</x:f>
        <x:v>0.5049999999999955</x:v>
      </x:c>
      <x:c r="M48" t="str">
        <x:f>IF(K48="OK","Bez zmian",IF(K48="ZA MOCNA","Obniż bazę lub tempo wzrostu","Podnieś bazę lub efekt"))</x:f>
        <x:v>Bez zmian</x:v>
      </x:c>
      <x:c r="N48" t="n">
        <x:f>MAX(1,'Balans — VP3'!F61+MAX(-2,MIN(2,ROUND(($A$6-H48)/(2*'Balans — VP3'!$B$5),0))))</x:f>
        <x:v>4</x:v>
      </x:c>
      <x:c r="O48" t="n">
        <x:f>MAX(1,'Balans — VP3'!G61+MAX(-4,MIN(4,ROUND(($A$6-H48-(N48-'Balans — VP3'!F61)*2*'Balans — VP3'!$B$5)/(2*'Balans — VP3'!$B$6),0))))</x:f>
        <x:v>8</x:v>
      </x:c>
      <x:c r="P48" s="180" t="n">
        <x:f>H48+(N48-'Balans — VP3'!F61)*2*'Balans — VP3'!$B$5+(O48-'Balans — VP3'!G61)*2*'Balans — VP3'!$B$6</x:f>
        <x:v>20.42</x:v>
      </x:c>
      <x:c r="Q48" s="181" t="n">
        <x:f>IFERROR(P48/$A$6-1,0)</x:f>
        <x:v>0.019725343320849076</x:v>
      </x:c>
      <x:c r="R48" t="str">
        <x:f>IF(ABS(Q48)&lt;=$B$6,"W PASMIE","Korekta efektu/skalowania")</x:f>
        <x:v>W PASMIE</x:v>
      </x:c>
    </x:row>
    <x:row r="49" ht="25" customHeight="1">
      <x:c r="A49" t="str">
        <x:f>'Balans — VP3'!A62</x:f>
        <x:v>S90</x:v>
      </x:c>
      <x:c r="B49" t="str">
        <x:f>'Balans — VP3'!B62</x:f>
        <x:v>Potwory</x:v>
      </x:c>
      <x:c r="C49" t="str">
        <x:f>'Balans — VP3'!C62</x:f>
        <x:v>Koszmar Błyskawic</x:v>
      </x:c>
      <x:c r="D49" t="str">
        <x:f>'Balans — VP3'!D62</x:f>
        <x:v>Przy śmierci</x:v>
      </x:c>
      <x:c r="E49" t="str">
        <x:f>'Balans — VP3'!E62</x:f>
        <x:v>Szybki atak</x:v>
      </x:c>
      <x:c r="F49" s="180" t="n">
        <x:f>'Balans — VP3'!P62</x:f>
        <x:v>5.359999999999999</x:v>
      </x:c>
      <x:c r="G49" s="180" t="n">
        <x:f>'Balans — VP3'!Q62</x:f>
        <x:v>13.81</x:v>
      </x:c>
      <x:c r="H49" s="180" t="n">
        <x:f>F49+G49</x:f>
        <x:v>19.17</x:v>
      </x:c>
      <x:c r="I49" s="180" t="n">
        <x:f>H49-$A$6</x:f>
        <x:v>-0.8549999999999969</x:v>
      </x:c>
      <x:c r="J49" s="181" t="n">
        <x:f>IFERROR(I49/$A$6,0)</x:f>
        <x:v>-0.042696629213482995</x:v>
      </x:c>
      <x:c r="K49" t="str">
        <x:f>IF(J49&gt;$B$6,"ZA MOCNA",IF(J49&lt;-$B$6,"ZA SŁABA","OK"))</x:f>
        <x:v>OK</x:v>
      </x:c>
      <x:c r="L49" t="n">
        <x:f>$A$6-H49</x:f>
        <x:v>0.8549999999999969</x:v>
      </x:c>
      <x:c r="M49" t="str">
        <x:f>IF(K49="OK","Bez zmian",IF(K49="ZA MOCNA","Obniż bazę lub tempo wzrostu","Podnieś bazę lub efekt"))</x:f>
        <x:v>Bez zmian</x:v>
      </x:c>
      <x:c r="N49" t="n">
        <x:f>MAX(1,'Balans — VP3'!F62+MAX(-2,MIN(2,ROUND(($A$6-H49)/(2*'Balans — VP3'!$B$5),0))))</x:f>
        <x:v>2</x:v>
      </x:c>
      <x:c r="O49" t="n">
        <x:f>MAX(1,'Balans — VP3'!G62+MAX(-4,MIN(4,ROUND(($A$6-H49-(N49-'Balans — VP3'!F62)*2*'Balans — VP3'!$B$5)/(2*'Balans — VP3'!$B$6),0))))</x:f>
        <x:v>5</x:v>
      </x:c>
      <x:c r="P49" s="180" t="n">
        <x:f>H49+(N49-'Balans — VP3'!F62)*2*'Balans — VP3'!$B$5+(O49-'Balans — VP3'!G62)*2*'Balans — VP3'!$B$6</x:f>
        <x:v>20.07</x:v>
      </x:c>
      <x:c r="Q49" s="181" t="n">
        <x:f>IFERROR(P49/$A$6-1,0)</x:f>
        <x:v>0.0022471910112360494</x:v>
      </x:c>
      <x:c r="R49" t="str">
        <x:f>IF(ABS(Q49)&lt;=$B$6,"W PASMIE","Korekta efektu/skalowania")</x:f>
        <x:v>W PASMIE</x:v>
      </x:c>
    </x:row>
    <x:row r="50" ht="25" customHeight="1">
      <x:c r="A50" t="str">
        <x:f>'Balans — VP3'!A63</x:f>
        <x:v>S91</x:v>
      </x:c>
      <x:c r="B50" t="str">
        <x:f>'Balans — VP3'!B63</x:f>
        <x:v>Potwory</x:v>
      </x:c>
      <x:c r="C50" t="str">
        <x:f>'Balans — VP3'!C63</x:f>
        <x:v>Dwuszczęki Horror</x:v>
      </x:c>
      <x:c r="D50" t="str">
        <x:f>'Balans — VP3'!D63</x:f>
        <x:v>Przy śmierci</x:v>
      </x:c>
      <x:c r="E50" t="str">
        <x:f>'Balans — VP3'!E63</x:f>
        <x:v>Podwójny atak</x:v>
      </x:c>
      <x:c r="F50" s="180" t="n">
        <x:f>'Balans — VP3'!P63</x:f>
        <x:v>5.17</x:v>
      </x:c>
      <x:c r="G50" s="180" t="n">
        <x:f>'Balans — VP3'!Q63</x:f>
        <x:v>13.17</x:v>
      </x:c>
      <x:c r="H50" s="180" t="n">
        <x:f>F50+G50</x:f>
        <x:v>18.34</x:v>
      </x:c>
      <x:c r="I50" s="180" t="n">
        <x:f>H50-$A$6</x:f>
        <x:v>-1.6849999999999987</x:v>
      </x:c>
      <x:c r="J50" s="181" t="n">
        <x:f>IFERROR(I50/$A$6,0)</x:f>
        <x:v>-0.0841448189762796</x:v>
      </x:c>
      <x:c r="K50" t="str">
        <x:f>IF(J50&gt;$B$6,"ZA MOCNA",IF(J50&lt;-$B$6,"ZA SŁABA","OK"))</x:f>
        <x:v>OK</x:v>
      </x:c>
      <x:c r="L50" t="n">
        <x:f>$A$6-H50</x:f>
        <x:v>1.6849999999999987</x:v>
      </x:c>
      <x:c r="M50" t="str">
        <x:f>IF(K50="OK","Bez zmian",IF(K50="ZA MOCNA","Obniż bazę lub tempo wzrostu","Podnieś bazę lub efekt"))</x:f>
        <x:v>Bez zmian</x:v>
      </x:c>
      <x:c r="N50" t="n">
        <x:f>MAX(1,'Balans — VP3'!F63+MAX(-2,MIN(2,ROUND(($A$6-H50)/(2*'Balans — VP3'!$B$5),0))))</x:f>
        <x:v>2</x:v>
      </x:c>
      <x:c r="O50" t="n">
        <x:f>MAX(1,'Balans — VP3'!G63+MAX(-4,MIN(4,ROUND(($A$6-H50-(N50-'Balans — VP3'!F63)*2*'Balans — VP3'!$B$5)/(2*'Balans — VP3'!$B$6),0))))</x:f>
        <x:v>5</x:v>
      </x:c>
      <x:c r="P50" s="180" t="n">
        <x:f>H50+(N50-'Balans — VP3'!F63)*2*'Balans — VP3'!$B$5+(O50-'Balans — VP3'!G63)*2*'Balans — VP3'!$B$6</x:f>
        <x:v>20.34</x:v>
      </x:c>
      <x:c r="Q50" s="181" t="n">
        <x:f>IFERROR(P50/$A$6-1,0)</x:f>
        <x:v>0.01573033707865168</x:v>
      </x:c>
      <x:c r="R50" t="str">
        <x:f>IF(ABS(Q50)&lt;=$B$6,"W PASMIE","Korekta efektu/skalowania")</x:f>
        <x:v>W PASMIE</x:v>
      </x:c>
    </x:row>
    <x:row r="51" ht="25" customHeight="1">
      <x:c r="A51" t="str">
        <x:f>'Balans — VP3'!A64</x:f>
        <x:v>S27</x:v>
      </x:c>
      <x:c r="B51" t="str">
        <x:f>'Balans — VP3'!B64</x:f>
        <x:v>Krasnoludy</x:v>
      </x:c>
      <x:c r="C51" t="str">
        <x:f>'Balans — VP3'!C64</x:f>
        <x:v>Kusznik Runiczny</x:v>
      </x:c>
      <x:c r="D51" t="str">
        <x:f>'Balans — VP3'!D64</x:f>
        <x:v>Na koniec tury</x:v>
      </x:c>
      <x:c r="E51" t="str">
        <x:f>'Balans — VP3'!E64</x:f>
        <x:v>Obrażenia</x:v>
      </x:c>
      <x:c r="F51" s="180" t="n">
        <x:f>'Balans — VP3'!P64</x:f>
        <x:v>6.2</x:v>
      </x:c>
      <x:c r="G51" s="180" t="n">
        <x:f>'Balans — VP3'!Q64</x:f>
        <x:v>13.05</x:v>
      </x:c>
      <x:c r="H51" s="180" t="n">
        <x:f>F51+G51</x:f>
        <x:v>19.25</x:v>
      </x:c>
      <x:c r="I51" s="180" t="n">
        <x:f>H51-$A$6</x:f>
        <x:v>-0.7749999999999986</x:v>
      </x:c>
      <x:c r="J51" s="181" t="n">
        <x:f>IFERROR(I51/$A$6,0)</x:f>
        <x:v>-0.03870162297128583</x:v>
      </x:c>
      <x:c r="K51" t="str">
        <x:f>IF(J51&gt;$B$6,"ZA MOCNA",IF(J51&lt;-$B$6,"ZA SŁABA","OK"))</x:f>
        <x:v>OK</x:v>
      </x:c>
      <x:c r="L51" t="n">
        <x:f>$A$6-H51</x:f>
        <x:v>0.7749999999999986</x:v>
      </x:c>
      <x:c r="M51" t="str">
        <x:f>IF(K51="OK","Bez zmian",IF(K51="ZA MOCNA","Obniż bazę lub tempo wzrostu","Podnieś bazę lub efekt"))</x:f>
        <x:v>Bez zmian</x:v>
      </x:c>
      <x:c r="N51" t="n">
        <x:f>MAX(1,'Balans — VP3'!F64+MAX(-2,MIN(2,ROUND(($A$6-H51)/(2*'Balans — VP3'!$B$5),0))))</x:f>
        <x:v>1</x:v>
      </x:c>
      <x:c r="O51" t="n">
        <x:f>MAX(1,'Balans — VP3'!G64+MAX(-4,MIN(4,ROUND(($A$6-H51-(N51-'Balans — VP3'!F64)*2*'Balans — VP3'!$B$5)/(2*'Balans — VP3'!$B$6),0))))</x:f>
        <x:v>7</x:v>
      </x:c>
      <x:c r="P51" s="180" t="n">
        <x:f>H51+(N51-'Balans — VP3'!F64)*2*'Balans — VP3'!$B$5+(O51-'Balans — VP3'!G64)*2*'Balans — VP3'!$B$6</x:f>
        <x:v>20.15</x:v>
      </x:c>
      <x:c r="Q51" s="181" t="n">
        <x:f>IFERROR(P51/$A$6-1,0)</x:f>
        <x:v>0.006242197253433224</x:v>
      </x:c>
      <x:c r="R51" t="str">
        <x:f>IF(ABS(Q51)&lt;=$B$6,"W PASMIE","Korekta efektu/skalowania")</x:f>
        <x:v>W PASMIE</x:v>
      </x:c>
    </x:row>
    <x:row r="52" ht="25" customHeight="1">
      <x:c r="A52" t="str">
        <x:f>'Balans — VP3'!A65</x:f>
        <x:v>S25</x:v>
      </x:c>
      <x:c r="B52" t="str">
        <x:f>'Balans — VP3'!B65</x:f>
        <x:v>Krasnoludy</x:v>
      </x:c>
      <x:c r="C52" t="str">
        <x:f>'Balans — VP3'!C65</x:f>
        <x:v>Medyk Górniczy</x:v>
      </x:c>
      <x:c r="D52" t="str">
        <x:f>'Balans — VP3'!D65</x:f>
        <x:v>Na koniec tury</x:v>
      </x:c>
      <x:c r="E52" t="str">
        <x:f>'Balans — VP3'!E65</x:f>
        <x:v>Leczenie</x:v>
      </x:c>
      <x:c r="F52" s="180" t="n">
        <x:f>'Balans — VP3'!P65</x:f>
        <x:v>8.9</x:v>
      </x:c>
      <x:c r="G52" s="180" t="n">
        <x:f>'Balans — VP3'!Q65</x:f>
        <x:v>13.475000000000001</x:v>
      </x:c>
      <x:c r="H52" s="180" t="n">
        <x:f>F52+G52</x:f>
        <x:v>22.375</x:v>
      </x:c>
      <x:c r="I52" s="180" t="n">
        <x:f>H52-$A$6</x:f>
        <x:v>2.3500000000000014</x:v>
      </x:c>
      <x:c r="J52" s="181" t="n">
        <x:f>IFERROR(I52/$A$6,0)</x:f>
        <x:v>0.1173533083645444</x:v>
      </x:c>
      <x:c r="K52" t="str">
        <x:f>IF(J52&gt;$B$6,"ZA MOCNA",IF(J52&lt;-$B$6,"ZA SŁABA","OK"))</x:f>
        <x:v>OK</x:v>
      </x:c>
      <x:c r="L52" t="n">
        <x:f>$A$6-H52</x:f>
        <x:v>-2.3500000000000014</x:v>
      </x:c>
      <x:c r="M52" t="str">
        <x:f>IF(K52="OK","Bez zmian",IF(K52="ZA MOCNA","Obniż bazę lub tempo wzrostu","Podnieś bazę lub efekt"))</x:f>
        <x:v>Bez zmian</x:v>
      </x:c>
      <x:c r="N52" t="n">
        <x:f>MAX(1,'Balans — VP3'!F65+MAX(-2,MIN(2,ROUND(($A$6-H52)/(2*'Balans — VP3'!$B$5),0))))</x:f>
        <x:v>1</x:v>
      </x:c>
      <x:c r="O52" t="n">
        <x:f>MAX(1,'Balans — VP3'!G65+MAX(-4,MIN(4,ROUND(($A$6-H52-(N52-'Balans — VP3'!F65)*2*'Balans — VP3'!$B$5)/(2*'Balans — VP3'!$B$6),0))))</x:f>
        <x:v>7</x:v>
      </x:c>
      <x:c r="P52" s="180" t="n">
        <x:f>H52+(N52-'Balans — VP3'!F65)*2*'Balans — VP3'!$B$5+(O52-'Balans — VP3'!G65)*2*'Balans — VP3'!$B$6</x:f>
        <x:v>20.375</x:v>
      </x:c>
      <x:c r="Q52" s="181" t="n">
        <x:f>IFERROR(P52/$A$6-1,0)</x:f>
        <x:v>0.017478152309613026</x:v>
      </x:c>
      <x:c r="R52" t="str">
        <x:f>IF(ABS(Q52)&lt;=$B$6,"W PASMIE","Korekta efektu/skalowania")</x:f>
        <x:v>W PASMIE</x:v>
      </x:c>
    </x:row>
    <x:row r="53" ht="25" customHeight="1">
      <x:c r="A53" t="str">
        <x:f>'Balans — VP3'!A66</x:f>
        <x:v>S28</x:v>
      </x:c>
      <x:c r="B53" t="str">
        <x:f>'Balans — VP3'!B66</x:f>
        <x:v>Krasnoludy</x:v>
      </x:c>
      <x:c r="C53" t="str">
        <x:f>'Balans — VP3'!C66</x:f>
        <x:v>Mistrz Run Bitewnych</x:v>
      </x:c>
      <x:c r="D53" t="str">
        <x:f>'Balans — VP3'!D66</x:f>
        <x:v>Na koniec tury</x:v>
      </x:c>
      <x:c r="E53" t="str">
        <x:f>'Balans — VP3'!E66</x:f>
        <x:v>ATK ±</x:v>
      </x:c>
      <x:c r="F53" s="180" t="n">
        <x:f>'Balans — VP3'!P66</x:f>
        <x:v>5.625</x:v>
      </x:c>
      <x:c r="G53" s="180" t="n">
        <x:f>'Balans — VP3'!Q66</x:f>
        <x:v>14</x:v>
      </x:c>
      <x:c r="H53" s="180" t="n">
        <x:f>F53+G53</x:f>
        <x:v>19.625</x:v>
      </x:c>
      <x:c r="I53" s="180" t="n">
        <x:f>H53-$A$6</x:f>
        <x:v>-0.3999999999999986</x:v>
      </x:c>
      <x:c r="J53" s="181" t="n">
        <x:f>IFERROR(I53/$A$6,0)</x:f>
        <x:v>-0.019975031210986198</x:v>
      </x:c>
      <x:c r="K53" t="str">
        <x:f>IF(J53&gt;$B$6,"ZA MOCNA",IF(J53&lt;-$B$6,"ZA SŁABA","OK"))</x:f>
        <x:v>OK</x:v>
      </x:c>
      <x:c r="L53" t="n">
        <x:f>$A$6-H53</x:f>
        <x:v>0.3999999999999986</x:v>
      </x:c>
      <x:c r="M53" t="str">
        <x:f>IF(K53="OK","Bez zmian",IF(K53="ZA MOCNA","Obniż bazę lub tempo wzrostu","Podnieś bazę lub efekt"))</x:f>
        <x:v>Bez zmian</x:v>
      </x:c>
      <x:c r="N53" t="n">
        <x:f>MAX(1,'Balans — VP3'!F66+MAX(-2,MIN(2,ROUND(($A$6-H53)/(2*'Balans — VP3'!$B$5),0))))</x:f>
        <x:v>1</x:v>
      </x:c>
      <x:c r="O53" t="n">
        <x:f>MAX(1,'Balans — VP3'!G66+MAX(-4,MIN(4,ROUND(($A$6-H53-(N53-'Balans — VP3'!F66)*2*'Balans — VP3'!$B$5)/(2*'Balans — VP3'!$B$6),0))))</x:f>
        <x:v>5</x:v>
      </x:c>
      <x:c r="P53" s="180" t="n">
        <x:f>H53+(N53-'Balans — VP3'!F66)*2*'Balans — VP3'!$B$5+(O53-'Balans — VP3'!G66)*2*'Balans — VP3'!$B$6</x:f>
        <x:v>19.625</x:v>
      </x:c>
      <x:c r="Q53" s="181" t="n">
        <x:f>IFERROR(P53/$A$6-1,0)</x:f>
        <x:v>-0.019975031210986205</x:v>
      </x:c>
      <x:c r="R53" t="str">
        <x:f>IF(ABS(Q53)&lt;=$B$6,"W PASMIE","Korekta efektu/skalowania")</x:f>
        <x:v>W PASMIE</x:v>
      </x:c>
    </x:row>
    <x:row r="54" ht="25" customHeight="1">
      <x:c r="A54" t="str">
        <x:f>'Balans — VP3'!A67</x:f>
        <x:v>S93</x:v>
      </x:c>
      <x:c r="B54" t="str">
        <x:f>'Balans — VP3'!B67</x:f>
        <x:v>Krasnoludy</x:v>
      </x:c>
      <x:c r="C54" t="str">
        <x:f>'Balans — VP3'!C67</x:f>
        <x:v>Kowal Życiostali</x:v>
      </x:c>
      <x:c r="D54" t="str">
        <x:f>'Balans — VP3'!D67</x:f>
        <x:v>Na koniec tury</x:v>
      </x:c>
      <x:c r="E54" t="str">
        <x:f>'Balans — VP3'!E67</x:f>
        <x:v>MAX HP ±</x:v>
      </x:c>
      <x:c r="F54" s="180" t="n">
        <x:f>'Balans — VP3'!P67</x:f>
        <x:v>7.075</x:v>
      </x:c>
      <x:c r="G54" s="180" t="n">
        <x:f>'Balans — VP3'!Q67</x:f>
        <x:v>11.15</x:v>
      </x:c>
      <x:c r="H54" s="180" t="n">
        <x:f>F54+G54</x:f>
        <x:v>18.225</x:v>
      </x:c>
      <x:c r="I54" s="180" t="n">
        <x:f>H54-$A$6</x:f>
        <x:v>-1.7999999999999972</x:v>
      </x:c>
      <x:c r="J54" s="181" t="n">
        <x:f>IFERROR(I54/$A$6,0)</x:f>
        <x:v>-0.08988764044943806</x:v>
      </x:c>
      <x:c r="K54" t="str">
        <x:f>IF(J54&gt;$B$6,"ZA MOCNA",IF(J54&lt;-$B$6,"ZA SŁABA","OK"))</x:f>
        <x:v>OK</x:v>
      </x:c>
      <x:c r="L54" t="n">
        <x:f>$A$6-H54</x:f>
        <x:v>1.7999999999999972</x:v>
      </x:c>
      <x:c r="M54" t="str">
        <x:f>IF(K54="OK","Bez zmian",IF(K54="ZA MOCNA","Obniż bazę lub tempo wzrostu","Podnieś bazę lub efekt"))</x:f>
        <x:v>Bez zmian</x:v>
      </x:c>
      <x:c r="N54" t="n">
        <x:f>MAX(1,'Balans — VP3'!F67+MAX(-2,MIN(2,ROUND(($A$6-H54)/(2*'Balans — VP3'!$B$5),0))))</x:f>
        <x:v>4</x:v>
      </x:c>
      <x:c r="O54" t="n">
        <x:f>MAX(1,'Balans — VP3'!G67+MAX(-4,MIN(4,ROUND(($A$6-H54-(N54-'Balans — VP3'!F67)*2*'Balans — VP3'!$B$5)/(2*'Balans — VP3'!$B$6),0))))</x:f>
        <x:v>6</x:v>
      </x:c>
      <x:c r="P54" s="180" t="n">
        <x:f>H54+(N54-'Balans — VP3'!F67)*2*'Balans — VP3'!$B$5+(O54-'Balans — VP3'!G67)*2*'Balans — VP3'!$B$6</x:f>
        <x:v>20.225</x:v>
      </x:c>
      <x:c r="Q54" s="181" t="n">
        <x:f>IFERROR(P54/$A$6-1,0)</x:f>
        <x:v>0.00998751560549338</x:v>
      </x:c>
      <x:c r="R54" t="str">
        <x:f>IF(ABS(Q54)&lt;=$B$6,"W PASMIE","Korekta efektu/skalowania")</x:f>
        <x:v>W PASMIE</x:v>
      </x:c>
    </x:row>
    <x:row r="55" ht="25" customHeight="1">
      <x:c r="A55" t="str">
        <x:f>'Balans — VP3'!A68</x:f>
        <x:v>S26</x:v>
      </x:c>
      <x:c r="B55" t="str">
        <x:f>'Balans — VP3'!B68</x:f>
        <x:v>Krasnoludy</x:v>
      </x:c>
      <x:c r="C55" t="str">
        <x:f>'Balans — VP3'!C68</x:f>
        <x:v>Kowal Żelaznej Kuźni</x:v>
      </x:c>
      <x:c r="D55" t="str">
        <x:f>'Balans — VP3'!D68</x:f>
        <x:v>Na koniec tury</x:v>
      </x:c>
      <x:c r="E55" t="str">
        <x:f>'Balans — VP3'!E68</x:f>
        <x:v>Pancerz</x:v>
      </x:c>
      <x:c r="F55" s="180" t="n">
        <x:f>'Balans — VP3'!P68</x:f>
        <x:v>7.95</x:v>
      </x:c>
      <x:c r="G55" s="180" t="n">
        <x:f>'Balans — VP3'!Q68</x:f>
        <x:v>12.275</x:v>
      </x:c>
      <x:c r="H55" s="180" t="n">
        <x:f>F55+G55</x:f>
        <x:v>20.225</x:v>
      </x:c>
      <x:c r="I55" s="180" t="n">
        <x:f>H55-$A$6</x:f>
        <x:v>0.20000000000000284</x:v>
      </x:c>
      <x:c r="J55" s="181" t="n">
        <x:f>IFERROR(I55/$A$6,0)</x:f>
        <x:v>0.009987515605493276</x:v>
      </x:c>
      <x:c r="K55" t="str">
        <x:f>IF(J55&gt;$B$6,"ZA MOCNA",IF(J55&lt;-$B$6,"ZA SŁABA","OK"))</x:f>
        <x:v>OK</x:v>
      </x:c>
      <x:c r="L55" t="n">
        <x:f>$A$6-H55</x:f>
        <x:v>-0.20000000000000284</x:v>
      </x:c>
      <x:c r="M55" t="str">
        <x:f>IF(K55="OK","Bez zmian",IF(K55="ZA MOCNA","Obniż bazę lub tempo wzrostu","Podnieś bazę lub efekt"))</x:f>
        <x:v>Bez zmian</x:v>
      </x:c>
      <x:c r="N55" t="n">
        <x:f>MAX(1,'Balans — VP3'!F68+MAX(-2,MIN(2,ROUND(($A$6-H55)/(2*'Balans — VP3'!$B$5),0))))</x:f>
        <x:v>2</x:v>
      </x:c>
      <x:c r="O55" t="n">
        <x:f>MAX(1,'Balans — VP3'!G68+MAX(-4,MIN(4,ROUND(($A$6-H55-(N55-'Balans — VP3'!F68)*2*'Balans — VP3'!$B$5)/(2*'Balans — VP3'!$B$6),0))))</x:f>
        <x:v>6</x:v>
      </x:c>
      <x:c r="P55" s="180" t="n">
        <x:f>H55+(N55-'Balans — VP3'!F68)*2*'Balans — VP3'!$B$5+(O55-'Balans — VP3'!G68)*2*'Balans — VP3'!$B$6</x:f>
        <x:v>20.225</x:v>
      </x:c>
      <x:c r="Q55" s="181" t="n">
        <x:f>IFERROR(P55/$A$6-1,0)</x:f>
        <x:v>0.00998751560549338</x:v>
      </x:c>
      <x:c r="R55" t="str">
        <x:f>IF(ABS(Q55)&lt;=$B$6,"W PASMIE","Korekta efektu/skalowania")</x:f>
        <x:v>W PASMIE</x:v>
      </x:c>
    </x:row>
    <x:row r="56" ht="25" customHeight="1">
      <x:c r="A56" t="str">
        <x:f>'Balans — VP3'!A69</x:f>
        <x:v>S94</x:v>
      </x:c>
      <x:c r="B56" t="str">
        <x:f>'Balans — VP3'!B69</x:f>
        <x:v>Krasnoludy</x:v>
      </x:c>
      <x:c r="C56" t="str">
        <x:f>'Balans — VP3'!C69</x:f>
        <x:v>Mistrz Tarczy</x:v>
      </x:c>
      <x:c r="D56" t="str">
        <x:f>'Balans — VP3'!D69</x:f>
        <x:v>Na koniec tury</x:v>
      </x:c>
      <x:c r="E56" t="str">
        <x:f>'Balans — VP3'!E69</x:f>
        <x:v>Tarcza</x:v>
      </x:c>
      <x:c r="F56" s="180" t="n">
        <x:f>'Balans — VP3'!P69</x:f>
        <x:v>12.1</x:v>
      </x:c>
      <x:c r="G56" s="180" t="n">
        <x:f>'Balans — VP3'!Q69</x:f>
        <x:v>16.15</x:v>
      </x:c>
      <x:c r="H56" s="180" t="n">
        <x:f>F56+G56</x:f>
        <x:v>28.25</x:v>
      </x:c>
      <x:c r="I56" s="180" t="n">
        <x:f>H56-$A$6</x:f>
        <x:v>8.225000000000001</x:v>
      </x:c>
      <x:c r="J56" s="181" t="n">
        <x:f>IFERROR(I56/$A$6,0)</x:f>
        <x:v>0.41073657927590523</x:v>
      </x:c>
      <x:c r="K56" t="str">
        <x:f>IF(J56&gt;$B$6,"ZA MOCNA",IF(J56&lt;-$B$6,"ZA SŁABA","OK"))</x:f>
        <x:v>ZA MOCNA</x:v>
      </x:c>
      <x:c r="L56" t="n">
        <x:f>$A$6-H56</x:f>
        <x:v>-8.225000000000001</x:v>
      </x:c>
      <x:c r="M56" t="str">
        <x:f>IF(K56="OK","Bez zmian",IF(K56="ZA MOCNA","Obniż bazę lub tempo wzrostu","Podnieś bazę lub efekt"))</x:f>
        <x:v>Obniż bazę lub tempo wzrostu</x:v>
      </x:c>
      <x:c r="N56" t="n">
        <x:f>MAX(1,'Balans — VP3'!F69+MAX(-2,MIN(2,ROUND(($A$6-H56)/(2*'Balans — VP3'!$B$5),0))))</x:f>
        <x:v>1</x:v>
      </x:c>
      <x:c r="O56" t="n">
        <x:f>MAX(1,'Balans — VP3'!G69+MAX(-4,MIN(4,ROUND(($A$6-H56-(N56-'Balans — VP3'!F69)*2*'Balans — VP3'!$B$5)/(2*'Balans — VP3'!$B$6),0))))</x:f>
        <x:v>4</x:v>
      </x:c>
      <x:c r="P56" s="180" t="n">
        <x:f>H56+(N56-'Balans — VP3'!F69)*2*'Balans — VP3'!$B$5+(O56-'Balans — VP3'!G69)*2*'Balans — VP3'!$B$6</x:f>
        <x:v>24.65</x:v>
      </x:c>
      <x:c r="Q56" s="181" t="n">
        <x:f>IFERROR(P56/$A$6-1,0)</x:f>
        <x:v>0.23096129837702883</x:v>
      </x:c>
      <x:c r="R56" t="str">
        <x:f>IF(ABS(Q56)&lt;=$B$6,"W PASMIE","Korekta efektu/skalowania")</x:f>
        <x:v>Korekta efektu/skalowania</x:v>
      </x:c>
    </x:row>
    <x:row r="57" ht="25" customHeight="1">
      <x:c r="A57" t="str">
        <x:f>'Balans — VP3'!A70</x:f>
        <x:v>S32</x:v>
      </x:c>
      <x:c r="B57" t="str">
        <x:f>'Balans — VP3'!B70</x:f>
        <x:v>Krasnoludy</x:v>
      </x:c>
      <x:c r="C57" t="str">
        <x:f>'Balans — VP3'!C70</x:f>
        <x:v>Alchemik Kopalnianych Trucizn</x:v>
      </x:c>
      <x:c r="D57" t="str">
        <x:f>'Balans — VP3'!D70</x:f>
        <x:v>Na koniec tury</x:v>
      </x:c>
      <x:c r="E57" t="str">
        <x:f>'Balans — VP3'!E70</x:f>
        <x:v>Trucizna</x:v>
      </x:c>
      <x:c r="F57" s="180" t="n">
        <x:f>'Balans — VP3'!P70</x:f>
        <x:v>7</x:v>
      </x:c>
      <x:c r="G57" s="180" t="n">
        <x:f>'Balans — VP3'!Q70</x:f>
        <x:v>16.75</x:v>
      </x:c>
      <x:c r="H57" s="180" t="n">
        <x:f>F57+G57</x:f>
        <x:v>23.75</x:v>
      </x:c>
      <x:c r="I57" s="180" t="n">
        <x:f>H57-$A$6</x:f>
        <x:v>3.7250000000000014</x:v>
      </x:c>
      <x:c r="J57" s="181" t="n">
        <x:f>IFERROR(I57/$A$6,0)</x:f>
        <x:v>0.1860174781523097</x:v>
      </x:c>
      <x:c r="K57" t="str">
        <x:f>IF(J57&gt;$B$6,"ZA MOCNA",IF(J57&lt;-$B$6,"ZA SŁABA","OK"))</x:f>
        <x:v>ZA MOCNA</x:v>
      </x:c>
      <x:c r="L57" t="n">
        <x:f>$A$6-H57</x:f>
        <x:v>-3.7250000000000014</x:v>
      </x:c>
      <x:c r="M57" t="str">
        <x:f>IF(K57="OK","Bez zmian",IF(K57="ZA MOCNA","Obniż bazę lub tempo wzrostu","Podnieś bazę lub efekt"))</x:f>
        <x:v>Obniż bazę lub tempo wzrostu</x:v>
      </x:c>
      <x:c r="N57" t="n">
        <x:f>MAX(1,'Balans — VP3'!F70+MAX(-2,MIN(2,ROUND(($A$6-H57)/(2*'Balans — VP3'!$B$5),0))))</x:f>
        <x:v>1</x:v>
      </x:c>
      <x:c r="O57" t="n">
        <x:f>MAX(1,'Balans — VP3'!G70+MAX(-4,MIN(4,ROUND(($A$6-H57-(N57-'Balans — VP3'!F70)*2*'Balans — VP3'!$B$5)/(2*'Balans — VP3'!$B$6),0))))</x:f>
        <x:v>1</x:v>
      </x:c>
      <x:c r="P57" s="180" t="n">
        <x:f>H57+(N57-'Balans — VP3'!F70)*2*'Balans — VP3'!$B$5+(O57-'Balans — VP3'!G70)*2*'Balans — VP3'!$B$6</x:f>
        <x:v>20.15</x:v>
      </x:c>
      <x:c r="Q57" s="181" t="n">
        <x:f>IFERROR(P57/$A$6-1,0)</x:f>
        <x:v>0.006242197253433224</x:v>
      </x:c>
      <x:c r="R57" t="str">
        <x:f>IF(ABS(Q57)&lt;=$B$6,"W PASMIE","Korekta efektu/skalowania")</x:f>
        <x:v>W PASMIE</x:v>
      </x:c>
    </x:row>
    <x:row r="58" ht="25" customHeight="1">
      <x:c r="A58" t="str">
        <x:f>'Balans — VP3'!A71</x:f>
        <x:v>S95</x:v>
      </x:c>
      <x:c r="B58" t="str">
        <x:f>'Balans — VP3'!B71</x:f>
        <x:v>Krasnoludy</x:v>
      </x:c>
      <x:c r="C58" t="str">
        <x:f>'Balans — VP3'!C71</x:f>
        <x:v>Młotnik Wstrząsów</x:v>
      </x:c>
      <x:c r="D58" t="str">
        <x:f>'Balans — VP3'!D71</x:f>
        <x:v>Na koniec tury</x:v>
      </x:c>
      <x:c r="E58" t="str">
        <x:f>'Balans — VP3'!E71</x:f>
        <x:v>Ogłuszenie</x:v>
      </x:c>
      <x:c r="F58" s="180" t="n">
        <x:f>'Balans — VP3'!P71</x:f>
        <x:v>9.95</x:v>
      </x:c>
      <x:c r="G58" s="180" t="n">
        <x:f>'Balans — VP3'!Q71</x:f>
        <x:v>20.55</x:v>
      </x:c>
      <x:c r="H58" s="180" t="n">
        <x:f>F58+G58</x:f>
        <x:v>30.5</x:v>
      </x:c>
      <x:c r="I58" s="180" t="n">
        <x:f>H58-$A$6</x:f>
        <x:v>10.475000000000001</x:v>
      </x:c>
      <x:c r="J58" s="181" t="n">
        <x:f>IFERROR(I58/$A$6,0)</x:f>
        <x:v>0.5230961298377029</x:v>
      </x:c>
      <x:c r="K58" t="str">
        <x:f>IF(J58&gt;$B$6,"ZA MOCNA",IF(J58&lt;-$B$6,"ZA SŁABA","OK"))</x:f>
        <x:v>ZA MOCNA</x:v>
      </x:c>
      <x:c r="L58" t="n">
        <x:f>$A$6-H58</x:f>
        <x:v>-10.475000000000001</x:v>
      </x:c>
      <x:c r="M58" t="str">
        <x:f>IF(K58="OK","Bez zmian",IF(K58="ZA MOCNA","Obniż bazę lub tempo wzrostu","Podnieś bazę lub efekt"))</x:f>
        <x:v>Obniż bazę lub tempo wzrostu</x:v>
      </x:c>
      <x:c r="N58" t="n">
        <x:f>MAX(1,'Balans — VP3'!F71+MAX(-2,MIN(2,ROUND(($A$6-H58)/(2*'Balans — VP3'!$B$5),0))))</x:f>
        <x:v>1</x:v>
      </x:c>
      <x:c r="O58" t="n">
        <x:f>MAX(1,'Balans — VP3'!G71+MAX(-4,MIN(4,ROUND(($A$6-H58-(N58-'Balans — VP3'!F71)*2*'Balans — VP3'!$B$5)/(2*'Balans — VP3'!$B$6),0))))</x:f>
        <x:v>2</x:v>
      </x:c>
      <x:c r="P58" s="180" t="n">
        <x:f>H58+(N58-'Balans — VP3'!F71)*2*'Balans — VP3'!$B$5+(O58-'Balans — VP3'!G71)*2*'Balans — VP3'!$B$6</x:f>
        <x:v>26.9</x:v>
      </x:c>
      <x:c r="Q58" s="181" t="n">
        <x:f>IFERROR(P58/$A$6-1,0)</x:f>
        <x:v>0.3433208489388264</x:v>
      </x:c>
      <x:c r="R58" t="str">
        <x:f>IF(ABS(Q58)&lt;=$B$6,"W PASMIE","Korekta efektu/skalowania")</x:f>
        <x:v>Korekta efektu/skalowania</x:v>
      </x:c>
    </x:row>
    <x:row r="59" ht="25" customHeight="1">
      <x:c r="A59" t="str">
        <x:f>'Balans — VP3'!A72</x:f>
        <x:v>S31</x:v>
      </x:c>
      <x:c r="B59" t="str">
        <x:f>'Balans — VP3'!B72</x:f>
        <x:v>Krasnoludy</x:v>
      </x:c>
      <x:c r="C59" t="str">
        <x:f>'Balans — VP3'!C72</x:f>
        <x:v>Znachor Klanowy</x:v>
      </x:c>
      <x:c r="D59" t="str">
        <x:f>'Balans — VP3'!D72</x:f>
        <x:v>Na koniec tury</x:v>
      </x:c>
      <x:c r="E59" t="str">
        <x:f>'Balans — VP3'!E72</x:f>
        <x:v>Regeneracja</x:v>
      </x:c>
      <x:c r="F59" s="180" t="n">
        <x:f>'Balans — VP3'!P72</x:f>
        <x:v>6.825</x:v>
      </x:c>
      <x:c r="G59" s="180" t="n">
        <x:f>'Balans — VP3'!Q72</x:f>
        <x:v>11.65</x:v>
      </x:c>
      <x:c r="H59" s="180" t="n">
        <x:f>F59+G59</x:f>
        <x:v>18.475</x:v>
      </x:c>
      <x:c r="I59" s="180" t="n">
        <x:f>H59-$A$6</x:f>
        <x:v>-1.5499999999999972</x:v>
      </x:c>
      <x:c r="J59" s="181" t="n">
        <x:f>IFERROR(I59/$A$6,0)</x:f>
        <x:v>-0.07740324594257166</x:v>
      </x:c>
      <x:c r="K59" t="str">
        <x:f>IF(J59&gt;$B$6,"ZA MOCNA",IF(J59&lt;-$B$6,"ZA SŁABA","OK"))</x:f>
        <x:v>OK</x:v>
      </x:c>
      <x:c r="L59" t="n">
        <x:f>$A$6-H59</x:f>
        <x:v>1.5499999999999972</x:v>
      </x:c>
      <x:c r="M59" t="str">
        <x:f>IF(K59="OK","Bez zmian",IF(K59="ZA MOCNA","Obniż bazę lub tempo wzrostu","Podnieś bazę lub efekt"))</x:f>
        <x:v>Bez zmian</x:v>
      </x:c>
      <x:c r="N59" t="n">
        <x:f>MAX(1,'Balans — VP3'!F72+MAX(-2,MIN(2,ROUND(($A$6-H59)/(2*'Balans — VP3'!$B$5),0))))</x:f>
        <x:v>3</x:v>
      </x:c>
      <x:c r="O59" t="n">
        <x:f>MAX(1,'Balans — VP3'!G72+MAX(-4,MIN(4,ROUND(($A$6-H59-(N59-'Balans — VP3'!F72)*2*'Balans — VP3'!$B$5)/(2*'Balans — VP3'!$B$6),0))))</x:f>
        <x:v>5</x:v>
      </x:c>
      <x:c r="P59" s="180" t="n">
        <x:f>H59+(N59-'Balans — VP3'!F72)*2*'Balans — VP3'!$B$5+(O59-'Balans — VP3'!G72)*2*'Balans — VP3'!$B$6</x:f>
        <x:v>19.575000000000003</x:v>
      </x:c>
      <x:c r="Q59" s="181" t="n">
        <x:f>IFERROR(P59/$A$6-1,0)</x:f>
        <x:v>-0.022471910112359383</x:v>
      </x:c>
      <x:c r="R59" t="str">
        <x:f>IF(ABS(Q59)&lt;=$B$6,"W PASMIE","Korekta efektu/skalowania")</x:f>
        <x:v>W PASMIE</x:v>
      </x:c>
    </x:row>
    <x:row r="60" ht="25" customHeight="1">
      <x:c r="A60" t="str">
        <x:f>'Balans — VP3'!A73</x:f>
        <x:v>S96</x:v>
      </x:c>
      <x:c r="B60" t="str">
        <x:f>'Balans — VP3'!B73</x:f>
        <x:v>Krasnoludy</x:v>
      </x:c>
      <x:c r="C60" t="str">
        <x:f>'Balans — VP3'!C73</x:f>
        <x:v>Wartownik Szybu</x:v>
      </x:c>
      <x:c r="D60" t="str">
        <x:f>'Balans — VP3'!D73</x:f>
        <x:v>Na koniec tury</x:v>
      </x:c>
      <x:c r="E60" t="str">
        <x:f>'Balans — VP3'!E73</x:f>
        <x:v>Prowokacja</x:v>
      </x:c>
      <x:c r="F60" s="180" t="n">
        <x:f>'Balans — VP3'!P73</x:f>
        <x:v>11.6</x:v>
      </x:c>
      <x:c r="G60" s="180" t="n">
        <x:f>'Balans — VP3'!Q73</x:f>
        <x:v>15.65</x:v>
      </x:c>
      <x:c r="H60" s="180" t="n">
        <x:f>F60+G60</x:f>
        <x:v>27.25</x:v>
      </x:c>
      <x:c r="I60" s="180" t="n">
        <x:f>H60-$A$6</x:f>
        <x:v>7.225000000000001</x:v>
      </x:c>
      <x:c r="J60" s="181" t="n">
        <x:f>IFERROR(I60/$A$6,0)</x:f>
        <x:v>0.36079900124843955</x:v>
      </x:c>
      <x:c r="K60" t="str">
        <x:f>IF(J60&gt;$B$6,"ZA MOCNA",IF(J60&lt;-$B$6,"ZA SŁABA","OK"))</x:f>
        <x:v>ZA MOCNA</x:v>
      </x:c>
      <x:c r="L60" t="n">
        <x:f>$A$6-H60</x:f>
        <x:v>-7.225000000000001</x:v>
      </x:c>
      <x:c r="M60" t="str">
        <x:f>IF(K60="OK","Bez zmian",IF(K60="ZA MOCNA","Obniż bazę lub tempo wzrostu","Podnieś bazę lub efekt"))</x:f>
        <x:v>Obniż bazę lub tempo wzrostu</x:v>
      </x:c>
      <x:c r="N60" t="n">
        <x:f>MAX(1,'Balans — VP3'!F73+MAX(-2,MIN(2,ROUND(($A$6-H60)/(2*'Balans — VP3'!$B$5),0))))</x:f>
        <x:v>1</x:v>
      </x:c>
      <x:c r="O60" t="n">
        <x:f>MAX(1,'Balans — VP3'!G73+MAX(-4,MIN(4,ROUND(($A$6-H60-(N60-'Balans — VP3'!F73)*2*'Balans — VP3'!$B$5)/(2*'Balans — VP3'!$B$6),0))))</x:f>
        <x:v>4</x:v>
      </x:c>
      <x:c r="P60" s="180" t="n">
        <x:f>H60+(N60-'Balans — VP3'!F73)*2*'Balans — VP3'!$B$5+(O60-'Balans — VP3'!G73)*2*'Balans — VP3'!$B$6</x:f>
        <x:v>21.65</x:v>
      </x:c>
      <x:c r="Q60" s="181" t="n">
        <x:f>IFERROR(P60/$A$6-1,0)</x:f>
        <x:v>0.08114856429463169</x:v>
      </x:c>
      <x:c r="R60" t="str">
        <x:f>IF(ABS(Q60)&lt;=$B$6,"W PASMIE","Korekta efektu/skalowania")</x:f>
        <x:v>W PASMIE</x:v>
      </x:c>
    </x:row>
    <x:row r="61" ht="25" customHeight="1">
      <x:c r="A61" t="str">
        <x:f>'Balans — VP3'!A74</x:f>
        <x:v>S97</x:v>
      </x:c>
      <x:c r="B61" t="str">
        <x:f>'Balans — VP3'!B74</x:f>
        <x:v>Krasnoludy</x:v>
      </x:c>
      <x:c r="C61" t="str">
        <x:f>'Balans — VP3'!C74</x:f>
        <x:v>Czyściciel Run</x:v>
      </x:c>
      <x:c r="D61" t="str">
        <x:f>'Balans — VP3'!D74</x:f>
        <x:v>Na koniec tury</x:v>
      </x:c>
      <x:c r="E61" t="str">
        <x:f>'Balans — VP3'!E74</x:f>
        <x:v>Oczyszczanie</x:v>
      </x:c>
      <x:c r="F61" s="180" t="n">
        <x:f>'Balans — VP3'!P74</x:f>
        <x:v>7.95</x:v>
      </x:c>
      <x:c r="G61" s="180" t="n">
        <x:f>'Balans — VP3'!Q74</x:f>
        <x:v>16.55</x:v>
      </x:c>
      <x:c r="H61" s="180" t="n">
        <x:f>F61+G61</x:f>
        <x:v>24.5</x:v>
      </x:c>
      <x:c r="I61" s="180" t="n">
        <x:f>H61-$A$6</x:f>
        <x:v>4.475000000000001</x:v>
      </x:c>
      <x:c r="J61" s="181" t="n">
        <x:f>IFERROR(I61/$A$6,0)</x:f>
        <x:v>0.22347066167290894</x:v>
      </x:c>
      <x:c r="K61" t="str">
        <x:f>IF(J61&gt;$B$6,"ZA MOCNA",IF(J61&lt;-$B$6,"ZA SŁABA","OK"))</x:f>
        <x:v>ZA MOCNA</x:v>
      </x:c>
      <x:c r="L61" t="n">
        <x:f>$A$6-H61</x:f>
        <x:v>-4.475000000000001</x:v>
      </x:c>
      <x:c r="M61" t="str">
        <x:f>IF(K61="OK","Bez zmian",IF(K61="ZA MOCNA","Obniż bazę lub tempo wzrostu","Podnieś bazę lub efekt"))</x:f>
        <x:v>Obniż bazę lub tempo wzrostu</x:v>
      </x:c>
      <x:c r="N61" t="n">
        <x:f>MAX(1,'Balans — VP3'!F74+MAX(-2,MIN(2,ROUND(($A$6-H61)/(2*'Balans — VP3'!$B$5),0))))</x:f>
        <x:v>1</x:v>
      </x:c>
      <x:c r="O61" t="n">
        <x:f>MAX(1,'Balans — VP3'!G74+MAX(-4,MIN(4,ROUND(($A$6-H61-(N61-'Balans — VP3'!F74)*2*'Balans — VP3'!$B$5)/(2*'Balans — VP3'!$B$6),0))))</x:f>
        <x:v>2</x:v>
      </x:c>
      <x:c r="P61" s="180" t="n">
        <x:f>H61+(N61-'Balans — VP3'!F74)*2*'Balans — VP3'!$B$5+(O61-'Balans — VP3'!G74)*2*'Balans — VP3'!$B$6</x:f>
        <x:v>20.9</x:v>
      </x:c>
      <x:c r="Q61" s="181" t="n">
        <x:f>IFERROR(P61/$A$6-1,0)</x:f>
        <x:v>0.043695380774032566</x:v>
      </x:c>
      <x:c r="R61" t="str">
        <x:f>IF(ABS(Q61)&lt;=$B$6,"W PASMIE","Korekta efektu/skalowania")</x:f>
        <x:v>W PASMIE</x:v>
      </x:c>
    </x:row>
    <x:row r="62" ht="25" customHeight="1">
      <x:c r="A62" t="str">
        <x:f>'Balans — VP3'!A75</x:f>
        <x:v>S99</x:v>
      </x:c>
      <x:c r="B62" t="str">
        <x:f>'Balans — VP3'!B75</x:f>
        <x:v>Krasnoludy</x:v>
      </x:c>
      <x:c r="C62" t="str">
        <x:f>'Balans — VP3'!C75</x:f>
        <x:v>Górski Odtruwacz</x:v>
      </x:c>
      <x:c r="D62" t="str">
        <x:f>'Balans — VP3'!D75</x:f>
        <x:v>Na koniec tury</x:v>
      </x:c>
      <x:c r="E62" t="str">
        <x:f>'Balans — VP3'!E75</x:f>
        <x:v>Odporność</x:v>
      </x:c>
      <x:c r="F62" s="180" t="n">
        <x:f>'Balans — VP3'!P75</x:f>
        <x:v>9.65</x:v>
      </x:c>
      <x:c r="G62" s="180" t="n">
        <x:f>'Balans — VP3'!Q75</x:f>
        <x:v>15.850000000000001</x:v>
      </x:c>
      <x:c r="H62" s="180" t="n">
        <x:f>F62+G62</x:f>
        <x:v>25.5</x:v>
      </x:c>
      <x:c r="I62" s="180" t="n">
        <x:f>H62-$A$6</x:f>
        <x:v>5.475000000000001</x:v>
      </x:c>
      <x:c r="J62" s="181" t="n">
        <x:f>IFERROR(I62/$A$6,0)</x:f>
        <x:v>0.27340823970037464</x:v>
      </x:c>
      <x:c r="K62" t="str">
        <x:f>IF(J62&gt;$B$6,"ZA MOCNA",IF(J62&lt;-$B$6,"ZA SŁABA","OK"))</x:f>
        <x:v>ZA MOCNA</x:v>
      </x:c>
      <x:c r="L62" t="n">
        <x:f>$A$6-H62</x:f>
        <x:v>-5.475000000000001</x:v>
      </x:c>
      <x:c r="M62" t="str">
        <x:f>IF(K62="OK","Bez zmian",IF(K62="ZA MOCNA","Obniż bazę lub tempo wzrostu","Podnieś bazę lub efekt"))</x:f>
        <x:v>Obniż bazę lub tempo wzrostu</x:v>
      </x:c>
      <x:c r="N62" t="n">
        <x:f>MAX(1,'Balans — VP3'!F75+MAX(-2,MIN(2,ROUND(($A$6-H62)/(2*'Balans — VP3'!$B$5),0))))</x:f>
        <x:v>1</x:v>
      </x:c>
      <x:c r="O62" t="n">
        <x:f>MAX(1,'Balans — VP3'!G75+MAX(-4,MIN(4,ROUND(($A$6-H62-(N62-'Balans — VP3'!F75)*2*'Balans — VP3'!$B$5)/(2*'Balans — VP3'!$B$6),0))))</x:f>
        <x:v>5</x:v>
      </x:c>
      <x:c r="P62" s="180" t="n">
        <x:f>H62+(N62-'Balans — VP3'!F75)*2*'Balans — VP3'!$B$5+(O62-'Balans — VP3'!G75)*2*'Balans — VP3'!$B$6</x:f>
        <x:v>19.7</x:v>
      </x:c>
      <x:c r="Q62" s="181" t="n">
        <x:f>IFERROR(P62/$A$6-1,0)</x:f>
        <x:v>-0.01622971285892627</x:v>
      </x:c>
      <x:c r="R62" t="str">
        <x:f>IF(ABS(Q62)&lt;=$B$6,"W PASMIE","Korekta efektu/skalowania")</x:f>
        <x:v>W PASMIE</x:v>
      </x:c>
    </x:row>
    <x:row r="63" ht="25" customHeight="1">
      <x:c r="A63" t="str">
        <x:f>'Balans — VP3'!A76</x:f>
        <x:v>S101</x:v>
      </x:c>
      <x:c r="B63" t="str">
        <x:f>'Balans — VP3'!B76</x:f>
        <x:v>Krasnoludy</x:v>
      </x:c>
      <x:c r="C63" t="str">
        <x:f>'Balans — VP3'!C76</x:f>
        <x:v>Konstruktor Sprężyn</x:v>
      </x:c>
      <x:c r="D63" t="str">
        <x:f>'Balans — VP3'!D76</x:f>
        <x:v>Na koniec tury</x:v>
      </x:c>
      <x:c r="E63" t="str">
        <x:f>'Balans — VP3'!E76</x:f>
        <x:v>Szybki atak</x:v>
      </x:c>
      <x:c r="F63" s="180" t="n">
        <x:f>'Balans — VP3'!P76</x:f>
        <x:v>10.3</x:v>
      </x:c>
      <x:c r="G63" s="180" t="n">
        <x:f>'Balans — VP3'!Q76</x:f>
        <x:v>18.75</x:v>
      </x:c>
      <x:c r="H63" s="180" t="n">
        <x:f>F63+G63</x:f>
        <x:v>29.05</x:v>
      </x:c>
      <x:c r="I63" s="180" t="n">
        <x:f>H63-$A$6</x:f>
        <x:v>9.025000000000002</x:v>
      </x:c>
      <x:c r="J63" s="181" t="n">
        <x:f>IFERROR(I63/$A$6,0)</x:f>
        <x:v>0.4506866416978778</x:v>
      </x:c>
      <x:c r="K63" t="str">
        <x:f>IF(J63&gt;$B$6,"ZA MOCNA",IF(J63&lt;-$B$6,"ZA SŁABA","OK"))</x:f>
        <x:v>ZA MOCNA</x:v>
      </x:c>
      <x:c r="L63" t="n">
        <x:f>$A$6-H63</x:f>
        <x:v>-9.025000000000002</x:v>
      </x:c>
      <x:c r="M63" t="str">
        <x:f>IF(K63="OK","Bez zmian",IF(K63="ZA MOCNA","Obniż bazę lub tempo wzrostu","Podnieś bazę lub efekt"))</x:f>
        <x:v>Obniż bazę lub tempo wzrostu</x:v>
      </x:c>
      <x:c r="N63" t="n">
        <x:f>MAX(1,'Balans — VP3'!F76+MAX(-2,MIN(2,ROUND(($A$6-H63)/(2*'Balans — VP3'!$B$5),0))))</x:f>
        <x:v>1</x:v>
      </x:c>
      <x:c r="O63" t="n">
        <x:f>MAX(1,'Balans — VP3'!G76+MAX(-4,MIN(4,ROUND(($A$6-H63-(N63-'Balans — VP3'!F76)*2*'Balans — VP3'!$B$5)/(2*'Balans — VP3'!$B$6),0))))</x:f>
        <x:v>1</x:v>
      </x:c>
      <x:c r="P63" s="180" t="n">
        <x:f>H63+(N63-'Balans — VP3'!F76)*2*'Balans — VP3'!$B$5+(O63-'Balans — VP3'!G76)*2*'Balans — VP3'!$B$6</x:f>
        <x:v>24.35</x:v>
      </x:c>
      <x:c r="Q63" s="181" t="n">
        <x:f>IFERROR(P63/$A$6-1,0)</x:f>
        <x:v>0.2159800249687891</x:v>
      </x:c>
      <x:c r="R63" t="str">
        <x:f>IF(ABS(Q63)&lt;=$B$6,"W PASMIE","Korekta efektu/skalowania")</x:f>
        <x:v>Korekta efektu/skalowania</x:v>
      </x:c>
    </x:row>
    <x:row r="64" ht="25" customHeight="1">
      <x:c r="A64" t="str">
        <x:f>'Balans — VP3'!A77</x:f>
        <x:v>S102</x:v>
      </x:c>
      <x:c r="B64" t="str">
        <x:f>'Balans — VP3'!B77</x:f>
        <x:v>Krasnoludy</x:v>
      </x:c>
      <x:c r="C64" t="str">
        <x:f>'Balans — VP3'!C77</x:f>
        <x:v>Mechanik Dwóch Ostrzy</x:v>
      </x:c>
      <x:c r="D64" t="str">
        <x:f>'Balans — VP3'!D77</x:f>
        <x:v>Na koniec tury</x:v>
      </x:c>
      <x:c r="E64" t="str">
        <x:f>'Balans — VP3'!E77</x:f>
        <x:v>Podwójny atak</x:v>
      </x:c>
      <x:c r="F64" s="180" t="n">
        <x:f>'Balans — VP3'!P77</x:f>
        <x:v>11.25</x:v>
      </x:c>
      <x:c r="G64" s="180" t="n">
        <x:f>'Balans — VP3'!Q77</x:f>
        <x:v>19.25</x:v>
      </x:c>
      <x:c r="H64" s="180" t="n">
        <x:f>F64+G64</x:f>
        <x:v>30.5</x:v>
      </x:c>
      <x:c r="I64" s="180" t="n">
        <x:f>H64-$A$6</x:f>
        <x:v>10.475000000000001</x:v>
      </x:c>
      <x:c r="J64" s="181" t="n">
        <x:f>IFERROR(I64/$A$6,0)</x:f>
        <x:v>0.5230961298377029</x:v>
      </x:c>
      <x:c r="K64" t="str">
        <x:f>IF(J64&gt;$B$6,"ZA MOCNA",IF(J64&lt;-$B$6,"ZA SŁABA","OK"))</x:f>
        <x:v>ZA MOCNA</x:v>
      </x:c>
      <x:c r="L64" t="n">
        <x:f>$A$6-H64</x:f>
        <x:v>-10.475000000000001</x:v>
      </x:c>
      <x:c r="M64" t="str">
        <x:f>IF(K64="OK","Bez zmian",IF(K64="ZA MOCNA","Obniż bazę lub tempo wzrostu","Podnieś bazę lub efekt"))</x:f>
        <x:v>Obniż bazę lub tempo wzrostu</x:v>
      </x:c>
      <x:c r="N64" t="n">
        <x:f>MAX(1,'Balans — VP3'!F77+MAX(-2,MIN(2,ROUND(($A$6-H64)/(2*'Balans — VP3'!$B$5),0))))</x:f>
        <x:v>1</x:v>
      </x:c>
      <x:c r="O64" t="n">
        <x:f>MAX(1,'Balans — VP3'!G77+MAX(-4,MIN(4,ROUND(($A$6-H64-(N64-'Balans — VP3'!F77)*2*'Balans — VP3'!$B$5)/(2*'Balans — VP3'!$B$6),0))))</x:f>
        <x:v>1</x:v>
      </x:c>
      <x:c r="P64" s="180" t="n">
        <x:f>H64+(N64-'Balans — VP3'!F77)*2*'Balans — VP3'!$B$5+(O64-'Balans — VP3'!G77)*2*'Balans — VP3'!$B$6</x:f>
        <x:v>26.9</x:v>
      </x:c>
      <x:c r="Q64" s="181" t="n">
        <x:f>IFERROR(P64/$A$6-1,0)</x:f>
        <x:v>0.3433208489388264</x:v>
      </x:c>
      <x:c r="R64" t="str">
        <x:f>IF(ABS(Q64)&lt;=$B$6,"W PASMIE","Korekta efektu/skalowania")</x:f>
        <x:v>Korekta efektu/skalowania</x:v>
      </x:c>
    </x:row>
    <x:row r="65" ht="25" customHeight="1">
      <x:c r="A65" t="str">
        <x:f>'Balans — VP3'!A78</x:f>
        <x:v>S103</x:v>
      </x:c>
      <x:c r="B65" t="str">
        <x:f>'Balans — VP3'!B78</x:f>
        <x:v>Ludzie</x:v>
      </x:c>
      <x:c r="C65" t="str">
        <x:f>'Balans — VP3'!C78</x:f>
        <x:v>Weteran Odwetu</x:v>
      </x:c>
      <x:c r="D65" t="str">
        <x:f>'Balans — VP3'!D78</x:f>
        <x:v>Pasywna</x:v>
      </x:c>
      <x:c r="E65" t="str">
        <x:f>'Balans — VP3'!E78</x:f>
        <x:v>Obrażenia</x:v>
      </x:c>
      <x:c r="F65" s="180" t="n">
        <x:f>'Balans — VP3'!P78</x:f>
        <x:v>7.75</x:v>
      </x:c>
      <x:c r="G65" s="180" t="n">
        <x:f>'Balans — VP3'!Q78</x:f>
        <x:v>11.95</x:v>
      </x:c>
      <x:c r="H65" s="180" t="n">
        <x:f>F65+G65</x:f>
        <x:v>19.7</x:v>
      </x:c>
      <x:c r="I65" s="180" t="n">
        <x:f>H65-$A$6</x:f>
        <x:v>-0.3249999999999993</x:v>
      </x:c>
      <x:c r="J65" s="181" t="n">
        <x:f>IFERROR(I65/$A$6,0)</x:f>
        <x:v>-0.01622971285892631</x:v>
      </x:c>
      <x:c r="K65" t="str">
        <x:f>IF(J65&gt;$B$6,"ZA MOCNA",IF(J65&lt;-$B$6,"ZA SŁABA","OK"))</x:f>
        <x:v>OK</x:v>
      </x:c>
      <x:c r="L65" t="n">
        <x:f>$A$6-H65</x:f>
        <x:v>0.3249999999999993</x:v>
      </x:c>
      <x:c r="M65" t="str">
        <x:f>IF(K65="OK","Bez zmian",IF(K65="ZA MOCNA","Obniż bazę lub tempo wzrostu","Podnieś bazę lub efekt"))</x:f>
        <x:v>Bez zmian</x:v>
      </x:c>
      <x:c r="N65" t="n">
        <x:f>MAX(1,'Balans — VP3'!F78+MAX(-2,MIN(2,ROUND(($A$6-H65)/(2*'Balans — VP3'!$B$5),0))))</x:f>
        <x:v>4</x:v>
      </x:c>
      <x:c r="O65" t="n">
        <x:f>MAX(1,'Balans — VP3'!G78+MAX(-4,MIN(4,ROUND(($A$6-H65-(N65-'Balans — VP3'!F78)*2*'Balans — VP3'!$B$5)/(2*'Balans — VP3'!$B$6),0))))</x:f>
        <x:v>5</x:v>
      </x:c>
      <x:c r="P65" s="180" t="n">
        <x:f>H65+(N65-'Balans — VP3'!F78)*2*'Balans — VP3'!$B$5+(O65-'Balans — VP3'!G78)*2*'Balans — VP3'!$B$6</x:f>
        <x:v>19.7</x:v>
      </x:c>
      <x:c r="Q65" s="181" t="n">
        <x:f>IFERROR(P65/$A$6-1,0)</x:f>
        <x:v>-0.01622971285892627</x:v>
      </x:c>
      <x:c r="R65" t="str">
        <x:f>IF(ABS(Q65)&lt;=$B$6,"W PASMIE","Korekta efektu/skalowania")</x:f>
        <x:v>W PASMIE</x:v>
      </x:c>
    </x:row>
    <x:row r="66" ht="25" customHeight="1">
      <x:c r="A66" t="str">
        <x:f>'Balans — VP3'!A79</x:f>
        <x:v>S104</x:v>
      </x:c>
      <x:c r="B66" t="str">
        <x:f>'Balans — VP3'!B79</x:f>
        <x:v>Ludzie</x:v>
      </x:c>
      <x:c r="C66" t="str">
        <x:f>'Balans — VP3'!C79</x:f>
        <x:v>Kapelan Garnizonu</x:v>
      </x:c>
      <x:c r="D66" t="str">
        <x:f>'Balans — VP3'!D79</x:f>
        <x:v>Pasywna</x:v>
      </x:c>
      <x:c r="E66" t="str">
        <x:f>'Balans — VP3'!E79</x:f>
        <x:v>Leczenie</x:v>
      </x:c>
      <x:c r="F66" s="180" t="n">
        <x:f>'Balans — VP3'!P79</x:f>
        <x:v>7.375</x:v>
      </x:c>
      <x:c r="G66" s="180" t="n">
        <x:f>'Balans — VP3'!Q79</x:f>
        <x:v>11.2</x:v>
      </x:c>
      <x:c r="H66" s="180" t="n">
        <x:f>F66+G66</x:f>
        <x:v>18.575</x:v>
      </x:c>
      <x:c r="I66" s="180" t="n">
        <x:f>H66-$A$6</x:f>
        <x:v>-1.4499999999999993</x:v>
      </x:c>
      <x:c r="J66" s="181" t="n">
        <x:f>IFERROR(I66/$A$6,0)</x:f>
        <x:v>-0.07240948813982519</x:v>
      </x:c>
      <x:c r="K66" t="str">
        <x:f>IF(J66&gt;$B$6,"ZA MOCNA",IF(J66&lt;-$B$6,"ZA SŁABA","OK"))</x:f>
        <x:v>OK</x:v>
      </x:c>
      <x:c r="L66" t="n">
        <x:f>$A$6-H66</x:f>
        <x:v>1.4499999999999993</x:v>
      </x:c>
      <x:c r="M66" t="str">
        <x:f>IF(K66="OK","Bez zmian",IF(K66="ZA MOCNA","Obniż bazę lub tempo wzrostu","Podnieś bazę lub efekt"))</x:f>
        <x:v>Bez zmian</x:v>
      </x:c>
      <x:c r="N66" t="n">
        <x:f>MAX(1,'Balans — VP3'!F79+MAX(-2,MIN(2,ROUND(($A$6-H66)/(2*'Balans — VP3'!$B$5),0))))</x:f>
        <x:v>5</x:v>
      </x:c>
      <x:c r="O66" t="n">
        <x:f>MAX(1,'Balans — VP3'!G79+MAX(-4,MIN(4,ROUND(($A$6-H66-(N66-'Balans — VP3'!F79)*2*'Balans — VP3'!$B$5)/(2*'Balans — VP3'!$B$6),0))))</x:f>
        <x:v>4</x:v>
      </x:c>
      <x:c r="P66" s="180" t="n">
        <x:f>H66+(N66-'Balans — VP3'!F79)*2*'Balans — VP3'!$B$5+(O66-'Balans — VP3'!G79)*2*'Balans — VP3'!$B$6</x:f>
        <x:v>19.675</x:v>
      </x:c>
      <x:c r="Q66" s="181" t="n">
        <x:f>IFERROR(P66/$A$6-1,0)</x:f>
        <x:v>-0.017478152309612915</x:v>
      </x:c>
      <x:c r="R66" t="str">
        <x:f>IF(ABS(Q66)&lt;=$B$6,"W PASMIE","Korekta efektu/skalowania")</x:f>
        <x:v>W PASMIE</x:v>
      </x:c>
    </x:row>
    <x:row r="67" ht="25" customHeight="1">
      <x:c r="A67" t="str">
        <x:f>'Balans — VP3'!A80</x:f>
        <x:v>S34</x:v>
      </x:c>
      <x:c r="B67" t="str">
        <x:f>'Balans — VP3'!B80</x:f>
        <x:v>Ludzie</x:v>
      </x:c>
      <x:c r="C67" t="str">
        <x:f>'Balans — VP3'!C80</x:f>
        <x:v>Chorąży Królewskiej Kompanii</x:v>
      </x:c>
      <x:c r="D67" t="str">
        <x:f>'Balans — VP3'!D80</x:f>
        <x:v>Pasywna</x:v>
      </x:c>
      <x:c r="E67" t="str">
        <x:f>'Balans — VP3'!E80</x:f>
        <x:v>ATK ±</x:v>
      </x:c>
      <x:c r="F67" s="180" t="n">
        <x:f>'Balans — VP3'!P80</x:f>
        <x:v>5.125</x:v>
      </x:c>
      <x:c r="G67" s="180" t="n">
        <x:f>'Balans — VP3'!Q80</x:f>
        <x:v>12.549999999999999</x:v>
      </x:c>
      <x:c r="H67" s="180" t="n">
        <x:f>F67+G67</x:f>
        <x:v>17.674999999999997</x:v>
      </x:c>
      <x:c r="I67" s="180" t="n">
        <x:f>H67-$A$6</x:f>
        <x:v>-2.3500000000000014</x:v>
      </x:c>
      <x:c r="J67" s="181" t="n">
        <x:f>IFERROR(I67/$A$6,0)</x:f>
        <x:v>-0.1173533083645444</x:v>
      </x:c>
      <x:c r="K67" t="str">
        <x:f>IF(J67&gt;$B$6,"ZA MOCNA",IF(J67&lt;-$B$6,"ZA SŁABA","OK"))</x:f>
        <x:v>OK</x:v>
      </x:c>
      <x:c r="L67" t="n">
        <x:f>$A$6-H67</x:f>
        <x:v>2.3500000000000014</x:v>
      </x:c>
      <x:c r="M67" t="str">
        <x:f>IF(K67="OK","Bez zmian",IF(K67="ZA MOCNA","Obniż bazę lub tempo wzrostu","Podnieś bazę lub efekt"))</x:f>
        <x:v>Bez zmian</x:v>
      </x:c>
      <x:c r="N67" t="n">
        <x:f>MAX(1,'Balans — VP3'!F80+MAX(-2,MIN(2,ROUND(($A$6-H67)/(2*'Balans — VP3'!$B$5),0))))</x:f>
        <x:v>2</x:v>
      </x:c>
      <x:c r="O67" t="n">
        <x:f>MAX(1,'Balans — VP3'!G80+MAX(-4,MIN(4,ROUND(($A$6-H67-(N67-'Balans — VP3'!F80)*2*'Balans — VP3'!$B$5)/(2*'Balans — VP3'!$B$6),0))))</x:f>
        <x:v>6</x:v>
      </x:c>
      <x:c r="P67" s="180" t="n">
        <x:f>H67+(N67-'Balans — VP3'!F80)*2*'Balans — VP3'!$B$5+(O67-'Balans — VP3'!G80)*2*'Balans — VP3'!$B$6</x:f>
        <x:v>19.674999999999997</x:v>
      </x:c>
      <x:c r="Q67" s="181" t="n">
        <x:f>IFERROR(P67/$A$6-1,0)</x:f>
        <x:v>-0.017478152309613026</x:v>
      </x:c>
      <x:c r="R67" t="str">
        <x:f>IF(ABS(Q67)&lt;=$B$6,"W PASMIE","Korekta efektu/skalowania")</x:f>
        <x:v>W PASMIE</x:v>
      </x:c>
    </x:row>
    <x:row r="68" ht="25" customHeight="1">
      <x:c r="A68" t="str">
        <x:f>'Balans — VP3'!A81</x:f>
        <x:v>S35</x:v>
      </x:c>
      <x:c r="B68" t="str">
        <x:f>'Balans — VP3'!B81</x:f>
        <x:v>Ludzie</x:v>
      </x:c>
      <x:c r="C68" t="str">
        <x:f>'Balans — VP3'!C81</x:f>
        <x:v>Komendant Straży</x:v>
      </x:c>
      <x:c r="D68" t="str">
        <x:f>'Balans — VP3'!D81</x:f>
        <x:v>Pasywna</x:v>
      </x:c>
      <x:c r="E68" t="str">
        <x:f>'Balans — VP3'!E81</x:f>
        <x:v>MAX HP ±</x:v>
      </x:c>
      <x:c r="F68" s="180" t="n">
        <x:f>'Balans — VP3'!P81</x:f>
        <x:v>6.9750000000000005</x:v>
      </x:c>
      <x:c r="G68" s="180" t="n">
        <x:f>'Balans — VP3'!Q81</x:f>
        <x:v>10.500000000000002</x:v>
      </x:c>
      <x:c r="H68" s="180" t="n">
        <x:f>F68+G68</x:f>
        <x:v>17.475</x:v>
      </x:c>
      <x:c r="I68" s="180" t="n">
        <x:f>H68-$A$6</x:f>
        <x:v>-2.549999999999997</x:v>
      </x:c>
      <x:c r="J68" s="181" t="n">
        <x:f>IFERROR(I68/$A$6,0)</x:f>
        <x:v>-0.12734082397003732</x:v>
      </x:c>
      <x:c r="K68" t="str">
        <x:f>IF(J68&gt;$B$6,"ZA MOCNA",IF(J68&lt;-$B$6,"ZA SŁABA","OK"))</x:f>
        <x:v>ZA SŁABA</x:v>
      </x:c>
      <x:c r="L68" t="n">
        <x:f>$A$6-H68</x:f>
        <x:v>2.549999999999997</x:v>
      </x:c>
      <x:c r="M68" t="str">
        <x:f>IF(K68="OK","Bez zmian",IF(K68="ZA MOCNA","Obniż bazę lub tempo wzrostu","Podnieś bazę lub efekt"))</x:f>
        <x:v>Podnieś bazę lub efekt</x:v>
      </x:c>
      <x:c r="N68" t="n">
        <x:f>MAX(1,'Balans — VP3'!F81+MAX(-2,MIN(2,ROUND(($A$6-H68)/(2*'Balans — VP3'!$B$5),0))))</x:f>
        <x:v>4</x:v>
      </x:c>
      <x:c r="O68" t="n">
        <x:f>MAX(1,'Balans — VP3'!G81+MAX(-4,MIN(4,ROUND(($A$6-H68-(N68-'Balans — VP3'!F81)*2*'Balans — VP3'!$B$5)/(2*'Balans — VP3'!$B$6),0))))</x:f>
        <x:v>8</x:v>
      </x:c>
      <x:c r="P68" s="180" t="n">
        <x:f>H68+(N68-'Balans — VP3'!F81)*2*'Balans — VP3'!$B$5+(O68-'Balans — VP3'!G81)*2*'Balans — VP3'!$B$6</x:f>
        <x:v>20.375</x:v>
      </x:c>
      <x:c r="Q68" s="181" t="n">
        <x:f>IFERROR(P68/$A$6-1,0)</x:f>
        <x:v>0.017478152309613026</x:v>
      </x:c>
      <x:c r="R68" t="str">
        <x:f>IF(ABS(Q68)&lt;=$B$6,"W PASMIE","Korekta efektu/skalowania")</x:f>
        <x:v>W PASMIE</x:v>
      </x:c>
    </x:row>
    <x:row r="69" ht="25" customHeight="1">
      <x:c r="A69" t="str">
        <x:f>'Balans — VP3'!A82</x:f>
        <x:v>S105</x:v>
      </x:c>
      <x:c r="B69" t="str">
        <x:f>'Balans — VP3'!B82</x:f>
        <x:v>Ludzie</x:v>
      </x:c>
      <x:c r="C69" t="str">
        <x:f>'Balans — VP3'!C82</x:f>
        <x:v>Zbrojmistrz Garnizonu</x:v>
      </x:c>
      <x:c r="D69" t="str">
        <x:f>'Balans — VP3'!D82</x:f>
        <x:v>Pasywna</x:v>
      </x:c>
      <x:c r="E69" t="str">
        <x:f>'Balans — VP3'!E82</x:f>
        <x:v>Pancerz</x:v>
      </x:c>
      <x:c r="F69" s="180" t="n">
        <x:f>'Balans — VP3'!P82</x:f>
        <x:v>7.1000000000000005</x:v>
      </x:c>
      <x:c r="G69" s="180" t="n">
        <x:f>'Balans — VP3'!Q82</x:f>
        <x:v>10.775</x:v>
      </x:c>
      <x:c r="H69" s="180" t="n">
        <x:f>F69+G69</x:f>
        <x:v>17.875</x:v>
      </x:c>
      <x:c r="I69" s="180" t="n">
        <x:f>H69-$A$6</x:f>
        <x:v>-2.1499999999999986</x:v>
      </x:c>
      <x:c r="J69" s="181" t="n">
        <x:f>IFERROR(I69/$A$6,0)</x:f>
        <x:v>-0.10736579275905113</x:v>
      </x:c>
      <x:c r="K69" t="str">
        <x:f>IF(J69&gt;$B$6,"ZA MOCNA",IF(J69&lt;-$B$6,"ZA SŁABA","OK"))</x:f>
        <x:v>OK</x:v>
      </x:c>
      <x:c r="L69" t="n">
        <x:f>$A$6-H69</x:f>
        <x:v>2.1499999999999986</x:v>
      </x:c>
      <x:c r="M69" t="str">
        <x:f>IF(K69="OK","Bez zmian",IF(K69="ZA MOCNA","Obniż bazę lub tempo wzrostu","Podnieś bazę lub efekt"))</x:f>
        <x:v>Bez zmian</x:v>
      </x:c>
      <x:c r="N69" t="n">
        <x:f>MAX(1,'Balans — VP3'!F82+MAX(-2,MIN(2,ROUND(($A$6-H69)/(2*'Balans — VP3'!$B$5),0))))</x:f>
        <x:v>3</x:v>
      </x:c>
      <x:c r="O69" t="n">
        <x:f>MAX(1,'Balans — VP3'!G82+MAX(-4,MIN(4,ROUND(($A$6-H69-(N69-'Balans — VP3'!F82)*2*'Balans — VP3'!$B$5)/(2*'Balans — VP3'!$B$6),0))))</x:f>
        <x:v>7</x:v>
      </x:c>
      <x:c r="P69" s="180" t="n">
        <x:f>H69+(N69-'Balans — VP3'!F82)*2*'Balans — VP3'!$B$5+(O69-'Balans — VP3'!G82)*2*'Balans — VP3'!$B$6</x:f>
        <x:v>19.875</x:v>
      </x:c>
      <x:c r="Q69" s="181" t="n">
        <x:f>IFERROR(P69/$A$6-1,0)</x:f>
        <x:v>-0.0074906367041197575</x:v>
      </x:c>
      <x:c r="R69" t="str">
        <x:f>IF(ABS(Q69)&lt;=$B$6,"W PASMIE","Korekta efektu/skalowania")</x:f>
        <x:v>W PASMIE</x:v>
      </x:c>
    </x:row>
    <x:row r="70" ht="25" customHeight="1">
      <x:c r="A70" t="str">
        <x:f>'Balans — VP3'!A83</x:f>
        <x:v>S106</x:v>
      </x:c>
      <x:c r="B70" t="str">
        <x:f>'Balans — VP3'!B83</x:f>
        <x:v>Ludzie</x:v>
      </x:c>
      <x:c r="C70" t="str">
        <x:f>'Balans — VP3'!C83</x:f>
        <x:v>Chorąży z Pawężą</x:v>
      </x:c>
      <x:c r="D70" t="str">
        <x:f>'Balans — VP3'!D83</x:f>
        <x:v>Pasywna</x:v>
      </x:c>
      <x:c r="E70" t="str">
        <x:f>'Balans — VP3'!E83</x:f>
        <x:v>Tarcza</x:v>
      </x:c>
      <x:c r="F70" s="180" t="n">
        <x:f>'Balans — VP3'!P83</x:f>
        <x:v>10.65</x:v>
      </x:c>
      <x:c r="G70" s="180" t="n">
        <x:f>'Balans — VP3'!Q83</x:f>
        <x:v>14.7</x:v>
      </x:c>
      <x:c r="H70" s="180" t="n">
        <x:f>F70+G70</x:f>
        <x:v>25.35</x:v>
      </x:c>
      <x:c r="I70" s="180" t="n">
        <x:f>H70-$A$6</x:f>
        <x:v>5.325000000000003</x:v>
      </x:c>
      <x:c r="J70" s="181" t="n">
        <x:f>IFERROR(I70/$A$6,0)</x:f>
        <x:v>0.26591760299625483</x:v>
      </x:c>
      <x:c r="K70" t="str">
        <x:f>IF(J70&gt;$B$6,"ZA MOCNA",IF(J70&lt;-$B$6,"ZA SŁABA","OK"))</x:f>
        <x:v>ZA MOCNA</x:v>
      </x:c>
      <x:c r="L70" t="n">
        <x:f>$A$6-H70</x:f>
        <x:v>-5.325000000000003</x:v>
      </x:c>
      <x:c r="M70" t="str">
        <x:f>IF(K70="OK","Bez zmian",IF(K70="ZA MOCNA","Obniż bazę lub tempo wzrostu","Podnieś bazę lub efekt"))</x:f>
        <x:v>Obniż bazę lub tempo wzrostu</x:v>
      </x:c>
      <x:c r="N70" t="n">
        <x:f>MAX(1,'Balans — VP3'!F83+MAX(-2,MIN(2,ROUND(($A$6-H70)/(2*'Balans — VP3'!$B$5),0))))</x:f>
        <x:v>1</x:v>
      </x:c>
      <x:c r="O70" t="n">
        <x:f>MAX(1,'Balans — VP3'!G83+MAX(-4,MIN(4,ROUND(($A$6-H70-(N70-'Balans — VP3'!F83)*2*'Balans — VP3'!$B$5)/(2*'Balans — VP3'!$B$6),0))))</x:f>
        <x:v>6</x:v>
      </x:c>
      <x:c r="P70" s="180" t="n">
        <x:f>H70+(N70-'Balans — VP3'!F83)*2*'Balans — VP3'!$B$5+(O70-'Balans — VP3'!G83)*2*'Balans — VP3'!$B$6</x:f>
        <x:v>20.450000000000003</x:v>
      </x:c>
      <x:c r="Q70" s="181" t="n">
        <x:f>IFERROR(P70/$A$6-1,0)</x:f>
        <x:v>0.021223470661673183</x:v>
      </x:c>
      <x:c r="R70" t="str">
        <x:f>IF(ABS(Q70)&lt;=$B$6,"W PASMIE","Korekta efektu/skalowania")</x:f>
        <x:v>W PASMIE</x:v>
      </x:c>
    </x:row>
    <x:row r="71" ht="25" customHeight="1">
      <x:c r="A71" t="str">
        <x:f>'Balans — VP3'!A84</x:f>
        <x:v>S107</x:v>
      </x:c>
      <x:c r="B71" t="str">
        <x:f>'Balans — VP3'!B84</x:f>
        <x:v>Ludzie</x:v>
      </x:c>
      <x:c r="C71" t="str">
        <x:f>'Balans — VP3'!C84</x:f>
        <x:v>Chemik Wojskowy</x:v>
      </x:c>
      <x:c r="D71" t="str">
        <x:f>'Balans — VP3'!D84</x:f>
        <x:v>Pasywna</x:v>
      </x:c>
      <x:c r="E71" t="str">
        <x:f>'Balans — VP3'!E84</x:f>
        <x:v>Trucizna</x:v>
      </x:c>
      <x:c r="F71" s="180" t="n">
        <x:f>'Balans — VP3'!P84</x:f>
        <x:v>6.95</x:v>
      </x:c>
      <x:c r="G71" s="180" t="n">
        <x:f>'Balans — VP3'!Q84</x:f>
        <x:v>15.2</x:v>
      </x:c>
      <x:c r="H71" s="180" t="n">
        <x:f>F71+G71</x:f>
        <x:v>22.15</x:v>
      </x:c>
      <x:c r="I71" s="180" t="n">
        <x:f>H71-$A$6</x:f>
        <x:v>2.125</x:v>
      </x:c>
      <x:c r="J71" s="181" t="n">
        <x:f>IFERROR(I71/$A$6,0)</x:f>
        <x:v>0.10611735330836455</x:v>
      </x:c>
      <x:c r="K71" t="str">
        <x:f>IF(J71&gt;$B$6,"ZA MOCNA",IF(J71&lt;-$B$6,"ZA SŁABA","OK"))</x:f>
        <x:v>OK</x:v>
      </x:c>
      <x:c r="L71" t="n">
        <x:f>$A$6-H71</x:f>
        <x:v>-2.125</x:v>
      </x:c>
      <x:c r="M71" t="str">
        <x:f>IF(K71="OK","Bez zmian",IF(K71="ZA MOCNA","Obniż bazę lub tempo wzrostu","Podnieś bazę lub efekt"))</x:f>
        <x:v>Bez zmian</x:v>
      </x:c>
      <x:c r="N71" t="n">
        <x:f>MAX(1,'Balans — VP3'!F84+MAX(-2,MIN(2,ROUND(($A$6-H71)/(2*'Balans — VP3'!$B$5),0))))</x:f>
        <x:v>1</x:v>
      </x:c>
      <x:c r="O71" t="n">
        <x:f>MAX(1,'Balans — VP3'!G84+MAX(-4,MIN(4,ROUND(($A$6-H71-(N71-'Balans — VP3'!F84)*2*'Balans — VP3'!$B$5)/(2*'Balans — VP3'!$B$6),0))))</x:f>
        <x:v>6</x:v>
      </x:c>
      <x:c r="P71" s="180" t="n">
        <x:f>H71+(N71-'Balans — VP3'!F84)*2*'Balans — VP3'!$B$5+(O71-'Balans — VP3'!G84)*2*'Balans — VP3'!$B$6</x:f>
        <x:v>20.15</x:v>
      </x:c>
      <x:c r="Q71" s="181" t="n">
        <x:f>IFERROR(P71/$A$6-1,0)</x:f>
        <x:v>0.006242197253433224</x:v>
      </x:c>
      <x:c r="R71" t="str">
        <x:f>IF(ABS(Q71)&lt;=$B$6,"W PASMIE","Korekta efektu/skalowania")</x:f>
        <x:v>W PASMIE</x:v>
      </x:c>
    </x:row>
    <x:row r="72" ht="25" customHeight="1">
      <x:c r="A72" t="str">
        <x:f>'Balans — VP3'!A85</x:f>
        <x:v>S108</x:v>
      </x:c>
      <x:c r="B72" t="str">
        <x:f>'Balans — VP3'!B85</x:f>
        <x:v>Ludzie</x:v>
      </x:c>
      <x:c r="C72" t="str">
        <x:f>'Balans — VP3'!C85</x:f>
        <x:v>Królewski Trębacz</x:v>
      </x:c>
      <x:c r="D72" t="str">
        <x:f>'Balans — VP3'!D85</x:f>
        <x:v>Pasywna</x:v>
      </x:c>
      <x:c r="E72" t="str">
        <x:f>'Balans — VP3'!E85</x:f>
        <x:v>Ogłuszenie</x:v>
      </x:c>
      <x:c r="F72" s="180" t="n">
        <x:f>'Balans — VP3'!P85</x:f>
        <x:v>7.45</x:v>
      </x:c>
      <x:c r="G72" s="180" t="n">
        <x:f>'Balans — VP3'!Q85</x:f>
        <x:v>15.55</x:v>
      </x:c>
      <x:c r="H72" s="180" t="n">
        <x:f>F72+G72</x:f>
        <x:v>23</x:v>
      </x:c>
      <x:c r="I72" s="180" t="n">
        <x:f>H72-$A$6</x:f>
        <x:v>2.9750000000000014</x:v>
      </x:c>
      <x:c r="J72" s="181" t="n">
        <x:f>IFERROR(I72/$A$6,0)</x:f>
        <x:v>0.14856429463171045</x:v>
      </x:c>
      <x:c r="K72" t="str">
        <x:f>IF(J72&gt;$B$6,"ZA MOCNA",IF(J72&lt;-$B$6,"ZA SŁABA","OK"))</x:f>
        <x:v>ZA MOCNA</x:v>
      </x:c>
      <x:c r="L72" t="n">
        <x:f>$A$6-H72</x:f>
        <x:v>-2.9750000000000014</x:v>
      </x:c>
      <x:c r="M72" t="str">
        <x:f>IF(K72="OK","Bez zmian",IF(K72="ZA MOCNA","Obniż bazę lub tempo wzrostu","Podnieś bazę lub efekt"))</x:f>
        <x:v>Obniż bazę lub tempo wzrostu</x:v>
      </x:c>
      <x:c r="N72" t="n">
        <x:f>MAX(1,'Balans — VP3'!F85+MAX(-2,MIN(2,ROUND(($A$6-H72)/(2*'Balans — VP3'!$B$5),0))))</x:f>
        <x:v>1</x:v>
      </x:c>
      <x:c r="O72" t="n">
        <x:f>MAX(1,'Balans — VP3'!G85+MAX(-4,MIN(4,ROUND(($A$6-H72-(N72-'Balans — VP3'!F85)*2*'Balans — VP3'!$B$5)/(2*'Balans — VP3'!$B$6),0))))</x:f>
        <x:v>3</x:v>
      </x:c>
      <x:c r="P72" s="180" t="n">
        <x:f>H72+(N72-'Balans — VP3'!F85)*2*'Balans — VP3'!$B$5+(O72-'Balans — VP3'!G85)*2*'Balans — VP3'!$B$6</x:f>
        <x:v>20.3</x:v>
      </x:c>
      <x:c r="Q72" s="181" t="n">
        <x:f>IFERROR(P72/$A$6-1,0)</x:f>
        <x:v>0.013732833957553092</x:v>
      </x:c>
      <x:c r="R72" t="str">
        <x:f>IF(ABS(Q72)&lt;=$B$6,"W PASMIE","Korekta efektu/skalowania")</x:f>
        <x:v>W PASMIE</x:v>
      </x:c>
    </x:row>
    <x:row r="73" ht="25" customHeight="1">
      <x:c r="A73" t="str">
        <x:f>'Balans — VP3'!A86</x:f>
        <x:v>S109</x:v>
      </x:c>
      <x:c r="B73" t="str">
        <x:f>'Balans — VP3'!B86</x:f>
        <x:v>Ludzie</x:v>
      </x:c>
      <x:c r="C73" t="str">
        <x:f>'Balans — VP3'!C86</x:f>
        <x:v>Kapelan Odnowy</x:v>
      </x:c>
      <x:c r="D73" t="str">
        <x:f>'Balans — VP3'!D86</x:f>
        <x:v>Pasywna</x:v>
      </x:c>
      <x:c r="E73" t="str">
        <x:f>'Balans — VP3'!E86</x:f>
        <x:v>Regeneracja</x:v>
      </x:c>
      <x:c r="F73" s="180" t="n">
        <x:f>'Balans — VP3'!P86</x:f>
        <x:v>6.425000000000001</x:v>
      </x:c>
      <x:c r="G73" s="180" t="n">
        <x:f>'Balans — VP3'!Q86</x:f>
        <x:v>10.4</x:v>
      </x:c>
      <x:c r="H73" s="180" t="n">
        <x:f>F73+G73</x:f>
        <x:v>16.825000000000003</x:v>
      </x:c>
      <x:c r="I73" s="180" t="n">
        <x:f>H73-$A$6</x:f>
        <x:v>-3.1999999999999957</x:v>
      </x:c>
      <x:c r="J73" s="181" t="n">
        <x:f>IFERROR(I73/$A$6,0)</x:f>
        <x:v>-0.15980024968788994</x:v>
      </x:c>
      <x:c r="K73" t="str">
        <x:f>IF(J73&gt;$B$6,"ZA MOCNA",IF(J73&lt;-$B$6,"ZA SŁABA","OK"))</x:f>
        <x:v>ZA SŁABA</x:v>
      </x:c>
      <x:c r="L73" t="n">
        <x:f>$A$6-H73</x:f>
        <x:v>3.1999999999999957</x:v>
      </x:c>
      <x:c r="M73" t="str">
        <x:f>IF(K73="OK","Bez zmian",IF(K73="ZA MOCNA","Obniż bazę lub tempo wzrostu","Podnieś bazę lub efekt"))</x:f>
        <x:v>Podnieś bazę lub efekt</x:v>
      </x:c>
      <x:c r="N73" t="n">
        <x:f>MAX(1,'Balans — VP3'!F86+MAX(-2,MIN(2,ROUND(($A$6-H73)/(2*'Balans — VP3'!$B$5),0))))</x:f>
        <x:v>4</x:v>
      </x:c>
      <x:c r="O73" t="n">
        <x:f>MAX(1,'Balans — VP3'!G86+MAX(-4,MIN(4,ROUND(($A$6-H73-(N73-'Balans — VP3'!F86)*2*'Balans — VP3'!$B$5)/(2*'Balans — VP3'!$B$6),0))))</x:f>
        <x:v>6</x:v>
      </x:c>
      <x:c r="P73" s="180" t="n">
        <x:f>H73+(N73-'Balans — VP3'!F86)*2*'Balans — VP3'!$B$5+(O73-'Balans — VP3'!G86)*2*'Balans — VP3'!$B$6</x:f>
        <x:v>19.925000000000004</x:v>
      </x:c>
      <x:c r="Q73" s="181" t="n">
        <x:f>IFERROR(P73/$A$6-1,0)</x:f>
        <x:v>-0.004993757802746246</x:v>
      </x:c>
      <x:c r="R73" t="str">
        <x:f>IF(ABS(Q73)&lt;=$B$6,"W PASMIE","Korekta efektu/skalowania")</x:f>
        <x:v>W PASMIE</x:v>
      </x:c>
    </x:row>
    <x:row r="74" ht="25" customHeight="1">
      <x:c r="A74" t="str">
        <x:f>'Balans — VP3'!A87</x:f>
        <x:v>S33</x:v>
      </x:c>
      <x:c r="B74" t="str">
        <x:f>'Balans — VP3'!B87</x:f>
        <x:v>Ludzie</x:v>
      </x:c>
      <x:c r="C74" t="str">
        <x:f>'Balans — VP3'!C87</x:f>
        <x:v>Strażnik Bram</x:v>
      </x:c>
      <x:c r="D74" t="str">
        <x:f>'Balans — VP3'!D87</x:f>
        <x:v>Pasywna</x:v>
      </x:c>
      <x:c r="E74" t="str">
        <x:f>'Balans — VP3'!E87</x:f>
        <x:v>Prowokacja</x:v>
      </x:c>
      <x:c r="F74" s="180" t="n">
        <x:f>'Balans — VP3'!P87</x:f>
        <x:v>9.2</x:v>
      </x:c>
      <x:c r="G74" s="180" t="n">
        <x:f>'Balans — VP3'!Q87</x:f>
        <x:v>13.25</x:v>
      </x:c>
      <x:c r="H74" s="180" t="n">
        <x:f>F74+G74</x:f>
        <x:v>22.45</x:v>
      </x:c>
      <x:c r="I74" s="180" t="n">
        <x:f>H74-$A$6</x:f>
        <x:v>2.4250000000000007</x:v>
      </x:c>
      <x:c r="J74" s="181" t="n">
        <x:f>IFERROR(I74/$A$6,0)</x:f>
        <x:v>0.12109862671660429</x:v>
      </x:c>
      <x:c r="K74" t="str">
        <x:f>IF(J74&gt;$B$6,"ZA MOCNA",IF(J74&lt;-$B$6,"ZA SŁABA","OK"))</x:f>
        <x:v>ZA MOCNA</x:v>
      </x:c>
      <x:c r="L74" t="n">
        <x:f>$A$6-H74</x:f>
        <x:v>-2.4250000000000007</x:v>
      </x:c>
      <x:c r="M74" t="str">
        <x:f>IF(K74="OK","Bez zmian",IF(K74="ZA MOCNA","Obniż bazę lub tempo wzrostu","Podnieś bazę lub efekt"))</x:f>
        <x:v>Obniż bazę lub tempo wzrostu</x:v>
      </x:c>
      <x:c r="N74" t="n">
        <x:f>MAX(1,'Balans — VP3'!F87+MAX(-2,MIN(2,ROUND(($A$6-H74)/(2*'Balans — VP3'!$B$5),0))))</x:f>
        <x:v>1</x:v>
      </x:c>
      <x:c r="O74" t="n">
        <x:f>MAX(1,'Balans — VP3'!G87+MAX(-4,MIN(4,ROUND(($A$6-H74-(N74-'Balans — VP3'!F87)*2*'Balans — VP3'!$B$5)/(2*'Balans — VP3'!$B$6),0))))</x:f>
        <x:v>8</x:v>
      </x:c>
      <x:c r="P74" s="180" t="n">
        <x:f>H74+(N74-'Balans — VP3'!F87)*2*'Balans — VP3'!$B$5+(O74-'Balans — VP3'!G87)*2*'Balans — VP3'!$B$6</x:f>
        <x:v>20.45</x:v>
      </x:c>
      <x:c r="Q74" s="181" t="n">
        <x:f>IFERROR(P74/$A$6-1,0)</x:f>
        <x:v>0.02122347066167296</x:v>
      </x:c>
      <x:c r="R74" t="str">
        <x:f>IF(ABS(Q74)&lt;=$B$6,"W PASMIE","Korekta efektu/skalowania")</x:f>
        <x:v>W PASMIE</x:v>
      </x:c>
    </x:row>
    <x:row r="75" ht="25" customHeight="1">
      <x:c r="A75" t="str">
        <x:f>'Balans — VP3'!A88</x:f>
        <x:v>S111</x:v>
      </x:c>
      <x:c r="B75" t="str">
        <x:f>'Balans — VP3'!B88</x:f>
        <x:v>Ludzie</x:v>
      </x:c>
      <x:c r="C75" t="str">
        <x:f>'Balans — VP3'!C88</x:f>
        <x:v>Chirurg Frontowy</x:v>
      </x:c>
      <x:c r="D75" t="str">
        <x:f>'Balans — VP3'!D88</x:f>
        <x:v>Pasywna</x:v>
      </x:c>
      <x:c r="E75" t="str">
        <x:f>'Balans — VP3'!E88</x:f>
        <x:v>Oczyszczanie</x:v>
      </x:c>
      <x:c r="F75" s="180" t="n">
        <x:f>'Balans — VP3'!P88</x:f>
        <x:v>7.7</x:v>
      </x:c>
      <x:c r="G75" s="180" t="n">
        <x:f>'Balans — VP3'!Q88</x:f>
        <x:v>14.6</x:v>
      </x:c>
      <x:c r="H75" s="180" t="n">
        <x:f>F75+G75</x:f>
        <x:v>22.3</x:v>
      </x:c>
      <x:c r="I75" s="180" t="n">
        <x:f>H75-$A$6</x:f>
        <x:v>2.275000000000002</x:v>
      </x:c>
      <x:c r="J75" s="181" t="n">
        <x:f>IFERROR(I75/$A$6,0)</x:f>
        <x:v>0.1136079900124845</x:v>
      </x:c>
      <x:c r="K75" t="str">
        <x:f>IF(J75&gt;$B$6,"ZA MOCNA",IF(J75&lt;-$B$6,"ZA SŁABA","OK"))</x:f>
        <x:v>OK</x:v>
      </x:c>
      <x:c r="L75" t="n">
        <x:f>$A$6-H75</x:f>
        <x:v>-2.275000000000002</x:v>
      </x:c>
      <x:c r="M75" t="str">
        <x:f>IF(K75="OK","Bez zmian",IF(K75="ZA MOCNA","Obniż bazę lub tempo wzrostu","Podnieś bazę lub efekt"))</x:f>
        <x:v>Bez zmian</x:v>
      </x:c>
      <x:c r="N75" t="n">
        <x:f>MAX(1,'Balans — VP3'!F88+MAX(-2,MIN(2,ROUND(($A$6-H75)/(2*'Balans — VP3'!$B$5),0))))</x:f>
        <x:v>1</x:v>
      </x:c>
      <x:c r="O75" t="n">
        <x:f>MAX(1,'Balans — VP3'!G88+MAX(-4,MIN(4,ROUND(($A$6-H75-(N75-'Balans — VP3'!F88)*2*'Balans — VP3'!$B$5)/(2*'Balans — VP3'!$B$6),0))))</x:f>
        <x:v>7</x:v>
      </x:c>
      <x:c r="P75" s="180" t="n">
        <x:f>H75+(N75-'Balans — VP3'!F88)*2*'Balans — VP3'!$B$5+(O75-'Balans — VP3'!G88)*2*'Balans — VP3'!$B$6</x:f>
        <x:v>20.3</x:v>
      </x:c>
      <x:c r="Q75" s="181" t="n">
        <x:f>IFERROR(P75/$A$6-1,0)</x:f>
        <x:v>0.013732833957553092</x:v>
      </x:c>
      <x:c r="R75" t="str">
        <x:f>IF(ABS(Q75)&lt;=$B$6,"W PASMIE","Korekta efektu/skalowania")</x:f>
        <x:v>W PASMIE</x:v>
      </x:c>
    </x:row>
    <x:row r="76" ht="25" customHeight="1">
      <x:c r="A76" t="str">
        <x:f>'Balans — VP3'!A89</x:f>
        <x:v>S39</x:v>
      </x:c>
      <x:c r="B76" t="str">
        <x:f>'Balans — VP3'!B89</x:f>
        <x:v>Ludzie</x:v>
      </x:c>
      <x:c r="C76" t="str">
        <x:f>'Balans — VP3'!C89</x:f>
        <x:v>Alchemik Antytoksyk</x:v>
      </x:c>
      <x:c r="D76" t="str">
        <x:f>'Balans — VP3'!D89</x:f>
        <x:v>Pasywna</x:v>
      </x:c>
      <x:c r="E76" t="str">
        <x:f>'Balans — VP3'!E89</x:f>
        <x:v>Odporność</x:v>
      </x:c>
      <x:c r="F76" s="180" t="n">
        <x:f>'Balans — VP3'!P89</x:f>
        <x:v>9.25</x:v>
      </x:c>
      <x:c r="G76" s="180" t="n">
        <x:f>'Balans — VP3'!Q89</x:f>
        <x:v>14.05</x:v>
      </x:c>
      <x:c r="H76" s="180" t="n">
        <x:f>F76+G76</x:f>
        <x:v>23.3</x:v>
      </x:c>
      <x:c r="I76" s="180" t="n">
        <x:f>H76-$A$6</x:f>
        <x:v>3.275000000000002</x:v>
      </x:c>
      <x:c r="J76" s="181" t="n">
        <x:f>IFERROR(I76/$A$6,0)</x:f>
        <x:v>0.16354556803995018</x:v>
      </x:c>
      <x:c r="K76" t="str">
        <x:f>IF(J76&gt;$B$6,"ZA MOCNA",IF(J76&lt;-$B$6,"ZA SŁABA","OK"))</x:f>
        <x:v>ZA MOCNA</x:v>
      </x:c>
      <x:c r="L76" t="n">
        <x:f>$A$6-H76</x:f>
        <x:v>-3.275000000000002</x:v>
      </x:c>
      <x:c r="M76" t="str">
        <x:f>IF(K76="OK","Bez zmian",IF(K76="ZA MOCNA","Obniż bazę lub tempo wzrostu","Podnieś bazę lub efekt"))</x:f>
        <x:v>Obniż bazę lub tempo wzrostu</x:v>
      </x:c>
      <x:c r="N76" t="n">
        <x:f>MAX(1,'Balans — VP3'!F89+MAX(-2,MIN(2,ROUND(($A$6-H76)/(2*'Balans — VP3'!$B$5),0))))</x:f>
        <x:v>2</x:v>
      </x:c>
      <x:c r="O76" t="n">
        <x:f>MAX(1,'Balans — VP3'!G89+MAX(-4,MIN(4,ROUND(($A$6-H76-(N76-'Balans — VP3'!F89)*2*'Balans — VP3'!$B$5)/(2*'Balans — VP3'!$B$6),0))))</x:f>
        <x:v>8</x:v>
      </x:c>
      <x:c r="P76" s="180" t="n">
        <x:f>H76+(N76-'Balans — VP3'!F89)*2*'Balans — VP3'!$B$5+(O76-'Balans — VP3'!G89)*2*'Balans — VP3'!$B$6</x:f>
        <x:v>20.2</x:v>
      </x:c>
      <x:c r="Q76" s="181" t="n">
        <x:f>IFERROR(P76/$A$6-1,0)</x:f>
        <x:v>0.008739076154806513</x:v>
      </x:c>
      <x:c r="R76" t="str">
        <x:f>IF(ABS(Q76)&lt;=$B$6,"W PASMIE","Korekta efektu/skalowania")</x:f>
        <x:v>W PASMIE</x:v>
      </x:c>
    </x:row>
    <x:row r="77" ht="25" customHeight="1">
      <x:c r="A77" t="str">
        <x:f>'Balans — VP3'!A90</x:f>
        <x:v>S114</x:v>
      </x:c>
      <x:c r="B77" t="str">
        <x:f>'Balans — VP3'!B90</x:f>
        <x:v>Ludzie</x:v>
      </x:c>
      <x:c r="C77" t="str">
        <x:f>'Balans — VP3'!C90</x:f>
        <x:v>Instruktor Błyskawicznego Natarcia</x:v>
      </x:c>
      <x:c r="D77" t="str">
        <x:f>'Balans — VP3'!D90</x:f>
        <x:v>Pasywna</x:v>
      </x:c>
      <x:c r="E77" t="str">
        <x:f>'Balans — VP3'!E90</x:f>
        <x:v>Szybki atak</x:v>
      </x:c>
      <x:c r="F77" s="180" t="n">
        <x:f>'Balans — VP3'!P90</x:f>
        <x:v>6.7</x:v>
      </x:c>
      <x:c r="G77" s="180" t="n">
        <x:f>'Balans — VP3'!Q90</x:f>
        <x:v>15.15</x:v>
      </x:c>
      <x:c r="H77" s="180" t="n">
        <x:f>F77+G77</x:f>
        <x:v>21.85</x:v>
      </x:c>
      <x:c r="I77" s="180" t="n">
        <x:f>H77-$A$6</x:f>
        <x:v>1.8250000000000028</x:v>
      </x:c>
      <x:c r="J77" s="181" t="n">
        <x:f>IFERROR(I77/$A$6,0)</x:f>
        <x:v>0.091136079900125</x:v>
      </x:c>
      <x:c r="K77" t="str">
        <x:f>IF(J77&gt;$B$6,"ZA MOCNA",IF(J77&lt;-$B$6,"ZA SŁABA","OK"))</x:f>
        <x:v>OK</x:v>
      </x:c>
      <x:c r="L77" t="n">
        <x:f>$A$6-H77</x:f>
        <x:v>-1.8250000000000028</x:v>
      </x:c>
      <x:c r="M77" t="str">
        <x:f>IF(K77="OK","Bez zmian",IF(K77="ZA MOCNA","Obniż bazę lub tempo wzrostu","Podnieś bazę lub efekt"))</x:f>
        <x:v>Bez zmian</x:v>
      </x:c>
      <x:c r="N77" t="n">
        <x:f>MAX(1,'Balans — VP3'!F90+MAX(-2,MIN(2,ROUND(($A$6-H77)/(2*'Balans — VP3'!$B$5),0))))</x:f>
        <x:v>1</x:v>
      </x:c>
      <x:c r="O77" t="n">
        <x:f>MAX(1,'Balans — VP3'!G90+MAX(-4,MIN(4,ROUND(($A$6-H77-(N77-'Balans — VP3'!F90)*2*'Balans — VP3'!$B$5)/(2*'Balans — VP3'!$B$6),0))))</x:f>
        <x:v>2</x:v>
      </x:c>
      <x:c r="P77" s="180" t="n">
        <x:f>H77+(N77-'Balans — VP3'!F90)*2*'Balans — VP3'!$B$5+(O77-'Balans — VP3'!G90)*2*'Balans — VP3'!$B$6</x:f>
        <x:v>20.05</x:v>
      </x:c>
      <x:c r="Q77" s="181" t="n">
        <x:f>IFERROR(P77/$A$6-1,0)</x:f>
        <x:v>0.0012484394506866447</x:v>
      </x:c>
      <x:c r="R77" t="str">
        <x:f>IF(ABS(Q77)&lt;=$B$6,"W PASMIE","Korekta efektu/skalowania")</x:f>
        <x:v>W PASMIE</x:v>
      </x:c>
    </x:row>
    <x:row r="78" ht="25" customHeight="1">
      <x:c r="A78" t="str">
        <x:f>'Balans — VP3'!A91</x:f>
        <x:v>S115</x:v>
      </x:c>
      <x:c r="B78" t="str">
        <x:f>'Balans — VP3'!B91</x:f>
        <x:v>Ludzie</x:v>
      </x:c>
      <x:c r="C78" t="str">
        <x:f>'Balans — VP3'!C91</x:f>
        <x:v>Mistrz Dwóch Ostrzy</x:v>
      </x:c>
      <x:c r="D78" t="str">
        <x:f>'Balans — VP3'!D91</x:f>
        <x:v>Pasywna</x:v>
      </x:c>
      <x:c r="E78" t="str">
        <x:f>'Balans — VP3'!E91</x:f>
        <x:v>Podwójny atak</x:v>
      </x:c>
      <x:c r="F78" s="180" t="n">
        <x:f>'Balans — VP3'!P91</x:f>
        <x:v>8.05</x:v>
      </x:c>
      <x:c r="G78" s="180" t="n">
        <x:f>'Balans — VP3'!Q91</x:f>
        <x:v>16.05</x:v>
      </x:c>
      <x:c r="H78" s="180" t="n">
        <x:f>F78+G78</x:f>
        <x:v>24.1</x:v>
      </x:c>
      <x:c r="I78" s="180" t="n">
        <x:f>H78-$A$6</x:f>
        <x:v>4.075000000000003</x:v>
      </x:c>
      <x:c r="J78" s="181" t="n">
        <x:f>IFERROR(I78/$A$6,0)</x:f>
        <x:v>0.20349563046192276</x:v>
      </x:c>
      <x:c r="K78" t="str">
        <x:f>IF(J78&gt;$B$6,"ZA MOCNA",IF(J78&lt;-$B$6,"ZA SŁABA","OK"))</x:f>
        <x:v>ZA MOCNA</x:v>
      </x:c>
      <x:c r="L78" t="n">
        <x:f>$A$6-H78</x:f>
        <x:v>-4.075000000000003</x:v>
      </x:c>
      <x:c r="M78" t="str">
        <x:f>IF(K78="OK","Bez zmian",IF(K78="ZA MOCNA","Obniż bazę lub tempo wzrostu","Podnieś bazę lub efekt"))</x:f>
        <x:v>Obniż bazę lub tempo wzrostu</x:v>
      </x:c>
      <x:c r="N78" t="n">
        <x:f>MAX(1,'Balans — VP3'!F91+MAX(-2,MIN(2,ROUND(($A$6-H78)/(2*'Balans — VP3'!$B$5),0))))</x:f>
        <x:v>1</x:v>
      </x:c>
      <x:c r="O78" t="n">
        <x:f>MAX(1,'Balans — VP3'!G91+MAX(-4,MIN(4,ROUND(($A$6-H78-(N78-'Balans — VP3'!F91)*2*'Balans — VP3'!$B$5)/(2*'Balans — VP3'!$B$6),0))))</x:f>
        <x:v>1</x:v>
      </x:c>
      <x:c r="P78" s="180" t="n">
        <x:f>H78+(N78-'Balans — VP3'!F91)*2*'Balans — VP3'!$B$5+(O78-'Balans — VP3'!G91)*2*'Balans — VP3'!$B$6</x:f>
        <x:v>20.5</x:v>
      </x:c>
      <x:c r="Q78" s="181" t="n">
        <x:f>IFERROR(P78/$A$6-1,0)</x:f>
        <x:v>0.02372034956304625</x:v>
      </x:c>
      <x:c r="R78" t="str">
        <x:f>IF(ABS(Q78)&lt;=$B$6,"W PASMIE","Korekta efektu/skalowania")</x:f>
        <x:v>W PASMIE</x:v>
      </x:c>
    </x:row>
    <x:row r="80">
      <x:c r="A80" t="str">
        <x:v>Uwaga: równa suma V0+V3 pomiędzy kartami ≠ wymóg V0=V3 w obrębie jednej karty.</x:v>
      </x:c>
    </x:row>
    <x:row r="81">
      <x:c r="A81" t="str">
        <x:v>Jeśli karta ma wysokie V0 i bardzo wysokie V3, wartość sumy przekroczy cel i zostanie oznaczona jako za mocna.</x:v>
      </x:c>
    </x:row>
    <x:row r="82">
      <x:c r="A82" t="str">
        <x:v>To wskaźnik do strojenia liczb; jakościowe efekty wymagają symulacji PvP. Tabela nie nadpisuje statystyk.</x:v>
      </x:c>
    </x:row>
    <x:row r="83">
      <x:c r="A83" t="str">
        <x:v>Rekomendowane ATK i HP to wyłącznie sugestie (zmiana maks. 2 ATK i 4 HP); aktualne parametry kart pozostają nietknięte.</x:v>
      </x:c>
    </x:row>
    <x:row r="84">
      <x:c r="A84" t="str">
        <x:v>Jeśli nawet korekta statystyk nie zbliża wartości do celu, konieczne jest dopasowanie siły efektu lub skalowania.</x:v>
      </x:c>
    </x:row>
  </x:sheetData>
  <x:conditionalFormatting sqref="J9:J78">
    <x:cfRule type="colorScale" priority="1">
      <x:colorScale>
        <x:cfvo type="min"/>
        <x:cfvo type="percentile" val="50"/>
        <x:cfvo type="max"/>
        <x:color rgb="FFDDF2E7"/>
        <x:color rgb="FFFFF9E8"/>
        <x:color rgb="FFFADEDB"/>
      </x:colorScale>
    </x:cfRule>
  </x:conditionalFormatting>
  <x:conditionalFormatting sqref="R9:R78">
    <x:cfRule type="expression" dxfId="0" priority="2">
      <x:formula>R9="W PASMIE"</x:formula>
    </x:cfRule>
    <x:cfRule type="expression" dxfId="1" priority="3">
      <x:formula>R9="Korekta efektu/skalowania"</x:formula>
    </x:cfRule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17" topLeftCell="A18" activePane="bottomLeft" state="frozen"/>
    </x:sheetView>
  </x:sheetViews>
  <x:sheetFormatPr defaultRowHeight="15"/>
  <x:cols>
    <x:col min="1" max="1" width="67" hidden="0" customWidth="1"/>
    <x:col min="2" max="2" width="23" hidden="0" customWidth="1"/>
    <x:col min="3" max="3" width="23" hidden="0" customWidth="1"/>
    <x:col min="4" max="4" width="57" hidden="0" customWidth="1"/>
    <x:col min="5" max="5" width="27" hidden="0" customWidth="1"/>
    <x:col min="6" max="6" width="66" hidden="0" customWidth="1"/>
    <x:col min="7" max="7" width="25" hidden="0" customWidth="1"/>
  </x:cols>
  <x:sheetData>
    <x:row r="1" ht="31" customHeight="1">
      <x:c r="A1" s="193" t="str">
        <x:v>KALIBRACJA EFEKTÓW | ZAŁOŻENIA DO TESTÓW</x:v>
      </x:c>
      <x:c r="B1" s="193"/>
      <x:c r="C1" s="193"/>
      <x:c r="D1" s="193"/>
      <x:c r="E1" s="193"/>
      <x:c r="F1" s="193"/>
      <x:c r="G1" s="193"/>
      <x:c r="H1" s="193"/>
    </x:row>
    <x:row r="2" ht="23" customHeight="1">
      <x:c r="A2" t="str">
        <x:v>Model wyceny przydatnych aktywacji, a nie surowej liczby wywołań. To hipotezy do testów, nie pomiary z partii.</x:v>
      </x:c>
    </x:row>
    <x:row r="3" ht="23" customHeight="1">
      <x:c r="A3" t="str">
        <x:v>Nie zmienia mechanik, opisów ani ATK / MAX HP 70 kart. Różnicuje ryzyko jakościowych statusów.</x:v>
      </x:c>
    </x:row>
    <x:row r="5" ht="30" customHeight="1">
      <x:c r="A5" s="197" t="str">
        <x:v>Parametr</x:v>
      </x:c>
      <x:c r="B5" s="197" t="str">
        <x:v>Wartość</x:v>
      </x:c>
      <x:c r="C5" s="197" t="str">
        <x:v>Znaczenie</x:v>
      </x:c>
    </x:row>
    <x:row r="6">
      <x:c r="A6" t="str">
        <x:v>Waga 1 ATK</x:v>
      </x:c>
      <x:c r="B6" s="200" t="n">
        <x:v>1</x:v>
      </x:c>
      <x:c r="C6" t="str">
        <x:v>Jednostki arbitralne; zgodne z poprzednim modelem.</x:v>
      </x:c>
    </x:row>
    <x:row r="7">
      <x:c r="A7" t="str">
        <x:v>Waga 1 MAX HP</x:v>
      </x:c>
      <x:c r="B7" s="200" t="n">
        <x:v>0.45</x:v>
      </x:c>
      <x:c r="C7" t="str">
        <x:v>Wyższe HP jest zasobem, ale nie zawsze zostanie utracone.</x:v>
      </x:c>
    </x:row>
    <x:row r="8">
      <x:c r="A8" t="str">
        <x:v>Waga jednostki efektu</x:v>
      </x:c>
      <x:c r="B8" s="200" t="n">
        <x:v>1</x:v>
      </x:c>
      <x:c r="C8" t="str">
        <x:v>Wspólna baza rodzin efektów.</x:v>
      </x:c>
    </x:row>
    <x:row r="9">
      <x:c r="A9" t="str">
        <x:v>Tury w ręce — porównanie</x:v>
      </x:c>
      <x:c r="B9" s="200" t="n">
        <x:v>3</x:v>
      </x:c>
      <x:c r="C9" t="str">
        <x:v>Trzy własne tury przetrzymania.</x:v>
      </x:c>
    </x:row>
    <x:row r="10">
      <x:c r="A10" t="str">
        <x:v>Cel sumy V0+V3</x:v>
      </x:c>
      <x:c r="B10" s="201" t="n">
        <x:f>MEDIAN('Kalibracja — 70 kart'!S8:S77)</x:f>
        <x:v>17.361400000000003</x:v>
      </x:c>
      <x:c r="C10" t="str">
        <x:v>Mediana 70 kart; dynamiczna.</x:v>
      </x:c>
    </x:row>
    <x:row r="11">
      <x:c r="A11" t="str">
        <x:v>Tolerancja względna</x:v>
      </x:c>
      <x:c r="B11" s="202" t="n">
        <x:v>0.12</x:v>
      </x:c>
      <x:c r="C11" t="str">
        <x:v>±12% wokół mediany do wychwytywania skrajności.</x:v>
      </x:c>
    </x:row>
    <x:row r="12">
      <x:c r="A12" t="str">
        <x:v>Dyskonto opóźnienia/turę</x:v>
      </x:c>
      <x:c r="B12" s="202" t="n">
        <x:v>0.16</x:v>
      </x:c>
      <x:c r="C12" t="str">
        <x:v>Osobny wskaźnik VP3; nie wpływa na budżet sumy.</x:v>
      </x:c>
    </x:row>
    <x:row r="13">
      <x:c r="A13" t="str">
        <x:v>Punkty statystyk / turę</x:v>
      </x:c>
      <x:c r="B13" s="200" t="n">
        <x:v>2</x:v>
      </x:c>
      <x:c r="C13" t="str">
        <x:v>Pozostaje +2 sumy ATK i MAX HP.</x:v>
      </x:c>
    </x:row>
    <x:row r="14">
      <x:c r="A14" t="str">
        <x:v>Próg ulepszenia zdolności</x:v>
      </x:c>
      <x:c r="B14" s="200" t="n">
        <x:v>3</x:v>
      </x:c>
      <x:c r="C14" t="str">
        <x:v>Kolejne poziomy co 3 własne tury na ręce.</x:v>
      </x:c>
    </x:row>
    <x:row r="15">
      <x:c r="A15" t="str">
        <x:v>Status jakościowy +poziom</x:v>
      </x:c>
      <x:c r="B15" t="str">
        <x:v>WERYFIKACJA</x:v>
      </x:c>
      <x:c r="C15" t="str">
        <x:v>Brak automatycznego +1 czasu ogłuszenia itd.</x:v>
      </x:c>
    </x:row>
    <x:row r="17" ht="30" customHeight="1">
      <x:c r="A17" s="197" t="str">
        <x:v>RODZINA EFEKTU</x:v>
      </x:c>
      <x:c r="B17" s="197" t="str">
        <x:v>WARTOŚĆ / JEDN.</x:v>
      </x:c>
      <x:c r="C17" s="197" t="str">
        <x:v>SZANSA UŻYCIA</x:v>
      </x:c>
      <x:c r="D17" s="197" t="str">
        <x:v>WARTOŚĆ KOLEJNEJ AKTYW.</x:v>
      </x:c>
      <x:c r="E17" s="197" t="str">
        <x:v>JEDNOSTKA</x:v>
      </x:c>
      <x:c r="F17" s="197" t="str">
        <x:v>WARUNEK WYCENY</x:v>
      </x:c>
      <x:c r="G17" s="197" t="str">
        <x:v>STATUS</x:v>
      </x:c>
    </x:row>
    <x:row r="18" ht="25" customHeight="1">
      <x:c r="A18" s="91" t="str">
        <x:v>Obrażenia</x:v>
      </x:c>
      <x:c r="B18" s="199" t="n">
        <x:v>1</x:v>
      </x:c>
      <x:c r="C18" s="199" t="n">
        <x:v>0.9</x:v>
      </x:c>
      <x:c r="D18" s="199" t="n">
        <x:v>0.95</x:v>
      </x:c>
      <x:c r="E18" s="91" t="str">
        <x:v>obrażenia</x:v>
      </x:c>
      <x:c r="F18" s="91" t="str">
        <x:v>Często skuteczne; ogranicza je tarcza i wybór celu.</x:v>
      </x:c>
      <x:c r="G18" s="91" t="str">
        <x:v>ROBOCZE</x:v>
      </x:c>
    </x:row>
    <x:row r="19" ht="25" customHeight="1">
      <x:c r="A19" s="91" t="str">
        <x:v>Leczenie</x:v>
      </x:c>
      <x:c r="B19" s="199" t="n">
        <x:v>0.66</x:v>
      </x:c>
      <x:c r="C19" s="199" t="n">
        <x:v>0.72</x:v>
      </x:c>
      <x:c r="D19" s="199" t="n">
        <x:v>0.82</x:v>
      </x:c>
      <x:c r="E19" s="91" t="str">
        <x:v>punkty HP</x:v>
      </x:c>
      <x:c r="F19" s="91" t="str">
        <x:v>Przeleczenie przy pełnym HP ma zerową wartość.</x:v>
      </x:c>
      <x:c r="G19" s="91" t="str">
        <x:v>ROBOCZE</x:v>
      </x:c>
    </x:row>
    <x:row r="20" ht="25" customHeight="1">
      <x:c r="A20" s="91" t="str">
        <x:v>ATK ±</x:v>
      </x:c>
      <x:c r="B20" s="199" t="n">
        <x:v>1.05</x:v>
      </x:c>
      <x:c r="C20" s="199" t="n">
        <x:v>0.8</x:v>
      </x:c>
      <x:c r="D20" s="199" t="n">
        <x:v>0.72</x:v>
      </x:c>
      <x:c r="E20" s="91" t="str">
        <x:v>punkty ATK</x:v>
      </x:c>
      <x:c r="F20" s="91" t="str">
        <x:v>Modyfikator działa tylko, gdy jednostka może wykorzystać ATK.</x:v>
      </x:c>
      <x:c r="G20" s="91" t="str">
        <x:v>ROBOCZE</x:v>
      </x:c>
    </x:row>
    <x:row r="21" ht="25" customHeight="1">
      <x:c r="A21" s="91" t="str">
        <x:v>MAX HP ±</x:v>
      </x:c>
      <x:c r="B21" s="199" t="n">
        <x:v>0.52</x:v>
      </x:c>
      <x:c r="C21" s="199" t="n">
        <x:v>0.8</x:v>
      </x:c>
      <x:c r="D21" s="199" t="n">
        <x:v>0.72</x:v>
      </x:c>
      <x:c r="E21" s="91" t="str">
        <x:v>punkty HP</x:v>
      </x:c>
      <x:c r="F21" s="91" t="str">
        <x:v>Użyteczność zależy od obrażeń i czasu na planszy.</x:v>
      </x:c>
      <x:c r="G21" s="91" t="str">
        <x:v>ROBOCZE</x:v>
      </x:c>
    </x:row>
    <x:row r="22" ht="25" customHeight="1">
      <x:c r="A22" s="91" t="str">
        <x:v>Pancerz</x:v>
      </x:c>
      <x:c r="B22" s="199" t="n">
        <x:v>0.55</x:v>
      </x:c>
      <x:c r="C22" s="199" t="n">
        <x:v>0.76</x:v>
      </x:c>
      <x:c r="D22" s="199" t="n">
        <x:v>0.64</x:v>
      </x:c>
      <x:c r="E22" s="91" t="str">
        <x:v>punkty pancerza</x:v>
      </x:c>
      <x:c r="F22" s="91" t="str">
        <x:v>Pancerz ponownie nadany nie zawsze zostaje zużyty.</x:v>
      </x:c>
      <x:c r="G22" s="91" t="str">
        <x:v>ROBOCZE</x:v>
      </x:c>
    </x:row>
    <x:row r="23" ht="25" customHeight="1">
      <x:c r="A23" s="91" t="str">
        <x:v>Tarcza</x:v>
      </x:c>
      <x:c r="B23" s="199" t="n">
        <x:v>2.2</x:v>
      </x:c>
      <x:c r="C23" s="199" t="n">
        <x:v>0.67</x:v>
      </x:c>
      <x:c r="D23" s="199" t="n">
        <x:v>0.23</x:v>
      </x:c>
      <x:c r="E23" s="91" t="str">
        <x:v>ładunek tarczy</x:v>
      </x:c>
      <x:c r="F23" s="91" t="str">
        <x:v>Maksymalnie jedna tarcza; ponowne nadanie często jest bez skutku.</x:v>
      </x:c>
      <x:c r="G23" s="91" t="str">
        <x:v>WYMAGA SYMULACJI</x:v>
      </x:c>
    </x:row>
    <x:row r="24" ht="25" customHeight="1">
      <x:c r="A24" s="91" t="str">
        <x:v>Trucizna</x:v>
      </x:c>
      <x:c r="B24" s="199" t="n">
        <x:v>0.78</x:v>
      </x:c>
      <x:c r="C24" s="199" t="n">
        <x:v>0.72</x:v>
      </x:c>
      <x:c r="D24" s="199" t="n">
        <x:v>0.55</x:v>
      </x:c>
      <x:c r="E24" s="91" t="str">
        <x:v>suma obrażeń w czasie</x:v>
      </x:c>
      <x:c r="F24" s="91" t="str">
        <x:v>Pełne obrażenia wymagają, by cel przeżył kilka tur.</x:v>
      </x:c>
      <x:c r="G24" s="91" t="str">
        <x:v>ROBOCZE</x:v>
      </x:c>
    </x:row>
    <x:row r="25" ht="25" customHeight="1">
      <x:c r="A25" s="91" t="str">
        <x:v>Ogłuszenie</x:v>
      </x:c>
      <x:c r="B25" s="199" t="n">
        <x:v>2.35</x:v>
      </x:c>
      <x:c r="C25" s="199" t="n">
        <x:v>0.74</x:v>
      </x:c>
      <x:c r="D25" s="199" t="n">
        <x:v>0.6</x:v>
      </x:c>
      <x:c r="E25" s="91" t="str">
        <x:v>tura blokady</x:v>
      </x:c>
      <x:c r="F25" s="91" t="str">
        <x:v>Powtarzalność może stworzyć blokadę bez kontrgry!</x:v>
      </x:c>
      <x:c r="G25" s="91" t="str">
        <x:v>RYZYKO KONTROLI</x:v>
      </x:c>
    </x:row>
    <x:row r="26" ht="25" customHeight="1">
      <x:c r="A26" s="91" t="str">
        <x:v>Regeneracja</x:v>
      </x:c>
      <x:c r="B26" s="199" t="n">
        <x:v>0.41</x:v>
      </x:c>
      <x:c r="C26" s="199" t="n">
        <x:v>0.66</x:v>
      </x:c>
      <x:c r="D26" s="199" t="n">
        <x:v>0.51</x:v>
      </x:c>
      <x:c r="E26" s="91" t="str">
        <x:v>maks. suma uzdrowień</x:v>
      </x:c>
      <x:c r="F26" s="91" t="str">
        <x:v>Leczenie zależy od tego, czy cel dostał obrażenia.</x:v>
      </x:c>
      <x:c r="G26" s="91" t="str">
        <x:v>ROBOCZE</x:v>
      </x:c>
    </x:row>
    <x:row r="27" ht="25" customHeight="1">
      <x:c r="A27" s="91" t="str">
        <x:v>Prowokacja</x:v>
      </x:c>
      <x:c r="B27" s="199" t="n">
        <x:v>1.4</x:v>
      </x:c>
      <x:c r="C27" s="199" t="n">
        <x:v>0.68</x:v>
      </x:c>
      <x:c r="D27" s="199" t="n">
        <x:v>0.38</x:v>
      </x:c>
      <x:c r="E27" s="91" t="str">
        <x:v>status</x:v>
      </x:c>
      <x:c r="F27" s="91" t="str">
        <x:v>Wartość zależy od dostępnych ataków przeciwnika.</x:v>
      </x:c>
      <x:c r="G27" s="91" t="str">
        <x:v>WYMAGA SYMULACJI</x:v>
      </x:c>
    </x:row>
    <x:row r="28" ht="25" customHeight="1">
      <x:c r="A28" s="91" t="str">
        <x:v>Oczyszczanie</x:v>
      </x:c>
      <x:c r="B28" s="199" t="n">
        <x:v>1.55</x:v>
      </x:c>
      <x:c r="C28" s="199" t="n">
        <x:v>0.45</x:v>
      </x:c>
      <x:c r="D28" s="199" t="n">
        <x:v>0.45</x:v>
      </x:c>
      <x:c r="E28" s="91" t="str">
        <x:v>użyteczne rozproszenie</x:v>
      </x:c>
      <x:c r="F28" s="91" t="str">
        <x:v>Brak efektów do usunięcia oznacza brak wartości.</x:v>
      </x:c>
      <x:c r="G28" s="91" t="str">
        <x:v>ROBOCZE</x:v>
      </x:c>
    </x:row>
    <x:row r="29" ht="25" customHeight="1">
      <x:c r="A29" s="91" t="str">
        <x:v>Odporność</x:v>
      </x:c>
      <x:c r="B29" s="199" t="n">
        <x:v>1.2</x:v>
      </x:c>
      <x:c r="C29" s="199" t="n">
        <x:v>0.55</x:v>
      </x:c>
      <x:c r="D29" s="199" t="n">
        <x:v>0.38</x:v>
      </x:c>
      <x:c r="E29" s="91" t="str">
        <x:v>status</x:v>
      </x:c>
      <x:c r="F29" s="91" t="str">
        <x:v>Wartość tylko przeciw odpowiadającemu zagrożeniu.</x:v>
      </x:c>
      <x:c r="G29" s="91" t="str">
        <x:v>WYMAGA SYMULACJI</x:v>
      </x:c>
    </x:row>
    <x:row r="30" ht="25" customHeight="1">
      <x:c r="A30" s="91" t="str">
        <x:v>Szybki atak</x:v>
      </x:c>
      <x:c r="B30" s="199" t="n">
        <x:v>1.8</x:v>
      </x:c>
      <x:c r="C30" s="199" t="n">
        <x:v>0.58</x:v>
      </x:c>
      <x:c r="D30" s="199" t="n">
        <x:v>0.37</x:v>
      </x:c>
      <x:c r="E30" s="91" t="str">
        <x:v>możliwość ataku</x:v>
      </x:c>
      <x:c r="F30" s="91" t="str">
        <x:v>Wymaga właściwej tury wystawienia i legalnego ataku.</x:v>
      </x:c>
      <x:c r="G30" s="91" t="str">
        <x:v>WYMAGA SYMULACJI</x:v>
      </x:c>
    </x:row>
    <x:row r="31" ht="25" customHeight="1">
      <x:c r="A31" s="91" t="str">
        <x:v>Podwójny atak</x:v>
      </x:c>
      <x:c r="B31" s="199" t="n">
        <x:v>2.55</x:v>
      </x:c>
      <x:c r="C31" s="199" t="n">
        <x:v>0.68</x:v>
      </x:c>
      <x:c r="D31" s="199" t="n">
        <x:v>0.53</x:v>
      </x:c>
      <x:c r="E31" s="91" t="str">
        <x:v>dodatkowy atak</x:v>
      </x:c>
      <x:c r="F31" s="91" t="str">
        <x:v>Silna synergia z wysokim ATK i efektami Przy ataku.</x:v>
      </x:c>
      <x:c r="G31" s="91" t="str">
        <x:v>RYZYKO KONTROLI</x:v>
      </x:c>
    </x:row>
    <x:row r="34" ht="30" customHeight="1">
      <x:c r="A34" s="197" t="str">
        <x:v>MOMENT AKTYWACJI</x:v>
      </x:c>
      <x:c r="B34" s="197" t="str">
        <x:v>AKTYWACJE NOMINALNE</x:v>
      </x:c>
      <x:c r="C34" s="197" t="str">
        <x:v>KONTROLA</x:v>
      </x:c>
      <x:c r="D34" s="197" t="str">
        <x:v>ZASTOSOWANIE</x:v>
      </x:c>
    </x:row>
    <x:row r="35" ht="28" customHeight="1">
      <x:c r="A35" t="str">
        <x:v>Przy wystawieniu</x:v>
      </x:c>
      <x:c r="B35" s="200" t="n">
        <x:v>1</x:v>
      </x:c>
      <x:c r="C35" t="str">
        <x:v>Jednorazowy</x:v>
      </x:c>
      <x:c r="D35" t="str">
        <x:v>Prawie pewny po zagraniu; efekt może nie mieć użytecznego celu.</x:v>
      </x:c>
    </x:row>
    <x:row r="36" ht="28" customHeight="1">
      <x:c r="A36" t="str">
        <x:v>Przy ataku</x:v>
      </x:c>
      <x:c r="B36" s="200" t="n">
        <x:v>1.2</x:v>
      </x:c>
      <x:c r="C36" t="str">
        <x:v>Ataki od następnej tury</x:v>
      </x:c>
      <x:c r="D36" t="str">
        <x:v>Liczba ataków zależy od przeżycia i decyzji gracza.</x:v>
      </x:c>
    </x:row>
    <x:row r="37" ht="28" customHeight="1">
      <x:c r="A37" t="str">
        <x:v>Przy śmierci</x:v>
      </x:c>
      <x:c r="B37" s="200" t="n">
        <x:v>0.6</x:v>
      </x:c>
      <x:c r="C37" t="str">
        <x:v>Warunkowy</x:v>
      </x:c>
      <x:c r="D37" t="str">
        <x:v>Zastąpienie, cisza lub brak śmierci wyłączają aktywację.</x:v>
      </x:c>
    </x:row>
    <x:row r="38" ht="28" customHeight="1">
      <x:c r="A38" t="str">
        <x:v>Na koniec tury</x:v>
      </x:c>
      <x:c r="B38" s="200" t="n">
        <x:v>2.5</x:v>
      </x:c>
      <x:c r="C38" t="str">
        <x:v>Pierwsza tura wliczona</x:v>
      </x:c>
      <x:c r="D38" t="str">
        <x:v>Prawdopodobieństwo dostępnego celu liczone osobno.</x:v>
      </x:c>
    </x:row>
    <x:row r="39" ht="28" customHeight="1">
      <x:c r="A39" t="str">
        <x:v>Pasywna</x:v>
      </x:c>
      <x:c r="B39" s="200" t="n">
        <x:v>1.5</x:v>
      </x:c>
      <x:c r="C39" t="str">
        <x:v>Zależny od warunku</x:v>
      </x:c>
      <x:c r="D39" t="str">
        <x:v>Aura lub odwet: brak jednakowej częstotliwości dla wszystkich kart.</x:v>
      </x:c>
    </x:row>
    <x:row r="42">
      <x:c r="A42" t="str">
        <x:v>DLACZEGO TAK LICZYMY</x:v>
      </x:c>
      <x:c r="B42" t="str"/>
      <x:c r="C42" t="str"/>
      <x:c r="D42" t="str"/>
      <x:c r="E42" t="str"/>
      <x:c r="F42" t="str"/>
      <x:c r="G42" t="str"/>
      <x:c r="H42" t="str"/>
    </x:row>
    <x:row r="43">
      <x:c r="A43" t="str">
        <x:v>1. Efektywne aktywacje = szansa użycia × [pierwsza aktywacja + kolejne × udział wartości powtórzeń].</x:v>
      </x:c>
    </x:row>
    <x:row r="44">
      <x:c r="A44" t="str">
        <x:v>2. Jeśli oczekiwana liczba aktywacji jest &lt; 1, mnożymy przez tę wartość (efekt Przy śmierci).</x:v>
      </x:c>
    </x:row>
    <x:row r="45">
      <x:c r="A45" t="str">
        <x:v>3. Statusy nie mogą być nieograniczenie dokładane: np. 1 tarcza na cel lub identyczne ogłuszenie tej samej jednostki.</x:v>
      </x:c>
    </x:row>
    <x:row r="46">
      <x:c r="A46" t="str">
        <x:v>4. Liczby wartości rodzin są hipotezami modelu; mają podlegać kalibracji na podstawie logów symulacji.</x:v>
      </x:c>
    </x:row>
    <x:row r="47">
      <x:c r="A47" t="str">
        <x:v>5. ALERT RYZYKA jest niezależny od wyniku Value: powtarzalny stun może być toksyczny nawet przy umiarkowanym budżecie punktów.</x:v>
      </x:c>
    </x:row>
    <x:row r="48">
      <x:c r="A48" t="str">
        <x:v>6. Rozpisane moce bazowe różnych efektów są EDYTOWALNE w nowym arkuszu; dla wielu statusów premia co 3 tury nadal wymaga projektu.</x:v>
      </x:c>
    </x:row>
    <x:row r="49">
      <x:c r="A49" t="str">
        <x:v>7. V3 odzwierciedla poziom karty po 3 turach na ręce, nie rekompensuje automatycznie utraconej wartości trzech tur na planszy.</x:v>
      </x:c>
    </x:row>
  </x:sheetData>
  <x:mergeCells>
    <x:mergeCell ref="A1:H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34" hidden="0" customWidth="1"/>
    <x:col min="4" max="4" width="19" hidden="0" customWidth="1"/>
    <x:col min="5" max="5" width="19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27" hidden="0" customWidth="1"/>
    <x:col min="23" max="23" width="64" hidden="0" customWidth="1"/>
    <x:col min="24" max="24" width="28" hidden="0" customWidth="1"/>
    <x:col min="25" max="25" width="18" hidden="0" customWidth="1"/>
    <x:col min="26" max="26" width="18" hidden="0" customWidth="1"/>
  </x:cols>
  <x:sheetData>
    <x:row r="1" ht="31" customHeight="1">
      <x:c r="A1" s="193" t="str">
        <x:v>KARTY STARTOWE | KALIBROWANA WARTOŚĆ 70 ARCHETYPÓW</x:v>
      </x:c>
      <x:c r="B1" s="193"/>
      <x:c r="C1" s="193"/>
      <x:c r="D1" s="193"/>
      <x:c r="E1" s="193"/>
      <x:c r="F1" s="193"/>
      <x:c r="G1" s="193"/>
      <x:c r="H1" s="193"/>
      <x:c r="I1" s="193"/>
      <x:c r="J1" s="193"/>
      <x:c r="K1" s="193"/>
      <x:c r="L1" s="193"/>
      <x:c r="M1" s="193"/>
      <x:c r="N1" s="193"/>
      <x:c r="O1" s="193"/>
      <x:c r="P1" s="193"/>
      <x:c r="Q1" s="193"/>
      <x:c r="R1" s="193"/>
      <x:c r="S1" s="193"/>
      <x:c r="T1" s="193"/>
      <x:c r="U1" s="193"/>
      <x:c r="V1" s="193"/>
      <x:c r="W1" s="193"/>
      <x:c r="X1" s="193"/>
      <x:c r="Y1" s="193"/>
      <x:c r="Z1" s="193"/>
    </x:row>
    <x:row r="2" ht="23" customHeight="1">
      <x:c r="A2" t="str">
        <x:v>HISTORYCZNY / POMOCNICZY ARKUSZ V12 — aktualny balans i wyniki symulacji w „Balans V13 — 70 kart”.</x:v>
      </x:c>
    </x:row>
    <x:row r="3" ht="23" customHeight="1">
      <x:c r="A3" t="str">
        <x:v>Wpisy w „Moc bazowa” i „Przyrost mocy po 3 turach” są edytowalne. Ulepszenia statusów jakościowych pozostają do ustalenia.</x:v>
      </x:c>
    </x:row>
    <x:row r="4">
      <x:c r="A4" t="str">
        <x:v>Ocena strategicznego ryzyka jest niezależna od sumy Value. Wszystkie parametry bez symulacji są wstępne.</x:v>
      </x:c>
    </x:row>
    <x:row r="6">
      <x:c r="A6" t="str">
        <x:v>Katalog</x:v>
      </x:c>
      <x:c r="B6" t="str"/>
      <x:c r="C6" t="str"/>
      <x:c r="D6" t="str"/>
      <x:c r="E6" t="str"/>
      <x:c r="F6" t="str"/>
      <x:c r="G6" t="str"/>
      <x:c r="H6" t="str"/>
    </x:row>
    <x:row r="7" ht="30" customHeight="1">
      <x:c r="A7" s="197" t="str">
        <x:v>ID</x:v>
      </x:c>
      <x:c r="B7" s="197" t="str">
        <x:v>Frakcja</x:v>
      </x:c>
      <x:c r="C7" s="197" t="str">
        <x:v>Karta</x:v>
      </x:c>
      <x:c r="D7" s="197" t="str">
        <x:v>Moment</x:v>
      </x:c>
      <x:c r="E7" s="197" t="str">
        <x:v>Efekt</x:v>
      </x:c>
      <x:c r="F7" s="197" t="str">
        <x:v>ATK 0</x:v>
      </x:c>
      <x:c r="G7" s="197" t="str">
        <x:v>HP 0</x:v>
      </x:c>
      <x:c r="H7" s="197" t="str">
        <x:v>+ATK po 3T</x:v>
      </x:c>
      <x:c r="I7" s="197" t="str">
        <x:v>+HP po 3T</x:v>
      </x:c>
      <x:c r="J7" s="197" t="str">
        <x:v>Moc 0</x:v>
      </x:c>
      <x:c r="K7" s="197" t="str">
        <x:v>+Moc po 3T</x:v>
      </x:c>
      <x:c r="L7" s="197" t="str">
        <x:v>Waga jednostki</x:v>
      </x:c>
      <x:c r="M7" s="197" t="str">
        <x:v>Szansa użycia</x:v>
      </x:c>
      <x:c r="N7" s="197" t="str">
        <x:v>Wartość powtórzeń</x:v>
      </x:c>
      <x:c r="O7" s="197" t="str">
        <x:v>Aktywacje nominalne</x:v>
      </x:c>
      <x:c r="P7" s="197" t="str">
        <x:v>Skuteczne aktywacje</x:v>
      </x:c>
      <x:c r="Q7" s="197" t="str">
        <x:v>Value 0</x:v>
      </x:c>
      <x:c r="R7" s="197" t="str">
        <x:v>Value 3</x:v>
      </x:c>
      <x:c r="S7" s="197" t="str">
        <x:v>V0 + V3</x:v>
      </x:c>
      <x:c r="T7" s="197" t="str">
        <x:v>Odchylenie od celu</x:v>
      </x:c>
      <x:c r="U7" s="197" t="str">
        <x:v>Ocena wartości</x:v>
      </x:c>
      <x:c r="V7" s="197" t="str">
        <x:v>Ryzyko strategiczne</x:v>
      </x:c>
      <x:c r="W7" s="197" t="str">
        <x:v>Co sprawdzić w symulacji</x:v>
      </x:c>
      <x:c r="X7" s="197" t="str">
        <x:v>Opis mocy bazowej</x:v>
      </x:c>
      <x:c r="Y7" s="197" t="str">
        <x:v>Value po opóźnieniu*</x:v>
      </x:c>
      <x:c r="Z7" s="197" t="str">
        <x:v>VP3*</x:v>
      </x:c>
    </x:row>
    <x:row r="8">
      <x:c r="A8" t="str">
        <x:f>'Katalog kart'!A8</x:f>
        <x:v>S01</x:v>
      </x:c>
      <x:c r="B8" t="str">
        <x:f>'Katalog kart'!M8</x:f>
        <x:v>Elfy</x:v>
      </x:c>
      <x:c r="C8" t="str">
        <x:f>'Katalog kart'!D8</x:f>
        <x:v>Mag Zorzy</x:v>
      </x:c>
      <x:c r="D8" t="str">
        <x:f>'Katalog kart'!B8</x:f>
        <x:v>Przy wystawieniu</x:v>
      </x:c>
      <x:c r="E8" t="str">
        <x:f>'Katalog kart'!C8</x:f>
        <x:v>Obrażenia</x:v>
      </x:c>
      <x:c r="F8" t="n">
        <x:f>'Katalog kart'!E8</x:f>
        <x:v>1</x:v>
      </x:c>
      <x:c r="G8" t="n">
        <x:f>'Katalog kart'!F8</x:f>
        <x:v>4</x:v>
      </x:c>
      <x:c r="H8" t="n">
        <x:f>'Balans — VP3'!H22*'Kalibracja — parametry'!$B$9+'Balans — VP3'!J22</x:f>
        <x:v>3</x:v>
      </x:c>
      <x:c r="I8" t="n">
        <x:f>'Balans — VP3'!I22*'Kalibracja — parametry'!$B$9+'Balans — VP3'!K22</x:f>
        <x:v>3</x:v>
      </x:c>
      <x:c r="J8" s="207" t="n">
        <x:v>3</x:v>
      </x:c>
      <x:c r="K8" s="207" t="n">
        <x:v>1</x:v>
      </x:c>
      <x:c r="L8" s="180" t="n">
        <x:f>IFERROR(VLOOKUP(E8,'Kalibracja — parametry'!$A$18:$G$31,2,FALSE),0)</x:f>
        <x:v>1</x:v>
      </x:c>
      <x:c r="M8" s="180" t="n">
        <x:f>IFERROR(VLOOKUP(E8,'Kalibracja — parametry'!$A$18:$G$31,3,FALSE),0)</x:f>
        <x:v>0.9</x:v>
      </x:c>
      <x:c r="N8" s="180" t="n">
        <x:f>IFERROR(VLOOKUP(E8,'Kalibracja — parametry'!$A$18:$G$31,4,FALSE),0)</x:f>
        <x:v>0.95</x:v>
      </x:c>
      <x:c r="O8" s="180" t="n">
        <x:f>IFERROR(VLOOKUP(D8,'Kalibracja — parametry'!$A$35:$D$39,2,FALSE),0)</x:f>
        <x:v>1</x:v>
      </x:c>
      <x:c r="P8" s="180" t="n">
        <x:f>M8*IF(O8&lt;=1,O8,1+(O8-1)*N8)</x:f>
        <x:v>0.9</x:v>
      </x:c>
      <x:c r="Q8" s="205" t="n">
        <x:f>'Kalibracja — parametry'!$B$6*F8+'Kalibracja — parametry'!$B$7*G8+'Kalibracja — parametry'!$B$8*J8*L8*P8</x:f>
        <x:v>5.5</x:v>
      </x:c>
      <x:c r="R8" s="205" t="n">
        <x:f>'Kalibracja — parametry'!$B$6*(F8+H8)+'Kalibracja — parametry'!$B$7*(G8+I8)+'Kalibracja — parametry'!$B$8*(J8+K8)*L8*P8</x:f>
        <x:v>10.75</x:v>
      </x:c>
      <x:c r="S8" s="205" t="n">
        <x:f>Q8+R8</x:f>
        <x:v>16.25</x:v>
      </x:c>
      <x:c r="T8" s="181" t="n">
        <x:f>IFERROR(S8/'Kalibracja — parametry'!$B$10-1,0)</x:f>
        <x:v>-0.06401557478083586</x:v>
      </x:c>
      <x:c r="U8" t="str">
        <x:f>IF(T8&gt;'Kalibracja — parametry'!$B$11,"WYSOKA",IF(T8&lt; -'Kalibracja — parametry'!$B$11,"NISKA","W PASMIE"))</x:f>
        <x:v>W PASMIE</x:v>
      </x:c>
      <x:c r="V8" s="91" t="str">
        <x:v>—</x:v>
      </x:c>
      <x:c r="W8" t="str"/>
      <x:c r="X8" t="str">
        <x:v>Suma obrażeń / leczenia / pancerza</x:v>
      </x:c>
      <x:c r="Y8" s="180" t="n">
        <x:f>R8/(1+'Kalibracja — parametry'!$B$12)^'Kalibracja — parametry'!$B$9</x:f>
        <x:v>6.88706999056952</x:v>
      </x:c>
      <x:c r="Z8" s="181" t="n">
        <x:f>IFERROR(Y8/Q8-1,0)</x:f>
        <x:v>0.2521945437399127</x:v>
      </x:c>
    </x:row>
    <x:row r="9">
      <x:c r="A9" t="str">
        <x:f>'Katalog kart'!A9</x:f>
        <x:v>S02</x:v>
      </x:c>
      <x:c r="B9" t="str">
        <x:f>'Katalog kart'!M9</x:f>
        <x:v>Elfy</x:v>
      </x:c>
      <x:c r="C9" t="str">
        <x:f>'Katalog kart'!D9</x:f>
        <x:v>Kapłanka Srebrnego Blasku</x:v>
      </x:c>
      <x:c r="D9" t="str">
        <x:f>'Katalog kart'!B9</x:f>
        <x:v>Przy wystawieniu</x:v>
      </x:c>
      <x:c r="E9" t="str">
        <x:f>'Katalog kart'!C9</x:f>
        <x:v>Leczenie</x:v>
      </x:c>
      <x:c r="F9" t="n">
        <x:f>'Katalog kart'!E9</x:f>
        <x:v>3</x:v>
      </x:c>
      <x:c r="G9" t="n">
        <x:f>'Katalog kart'!F9</x:f>
        <x:v>5</x:v>
      </x:c>
      <x:c r="H9" t="n">
        <x:f>'Balans — VP3'!H23*'Kalibracja — parametry'!$B$9+'Balans — VP3'!J23</x:f>
        <x:v>0</x:v>
      </x:c>
      <x:c r="I9" t="n">
        <x:f>'Balans — VP3'!I23*'Kalibracja — parametry'!$B$9+'Balans — VP3'!K23</x:f>
        <x:v>6</x:v>
      </x:c>
      <x:c r="J9" s="207" t="n">
        <x:v>4</x:v>
      </x:c>
      <x:c r="K9" s="207" t="n">
        <x:v>1</x:v>
      </x:c>
      <x:c r="L9" s="180" t="n">
        <x:f>IFERROR(VLOOKUP(E9,'Kalibracja — parametry'!$A$18:$G$31,2,FALSE),0)</x:f>
        <x:v>0.66</x:v>
      </x:c>
      <x:c r="M9" s="180" t="n">
        <x:f>IFERROR(VLOOKUP(E9,'Kalibracja — parametry'!$A$18:$G$31,3,FALSE),0)</x:f>
        <x:v>0.72</x:v>
      </x:c>
      <x:c r="N9" s="180" t="n">
        <x:f>IFERROR(VLOOKUP(E9,'Kalibracja — parametry'!$A$18:$G$31,4,FALSE),0)</x:f>
        <x:v>0.82</x:v>
      </x:c>
      <x:c r="O9" s="180" t="n">
        <x:f>IFERROR(VLOOKUP(D9,'Kalibracja — parametry'!$A$35:$D$39,2,FALSE),0)</x:f>
        <x:v>1</x:v>
      </x:c>
      <x:c r="P9" s="180" t="n">
        <x:f>M9*IF(O9&lt;=1,O9,1+(O9-1)*N9)</x:f>
        <x:v>0.72</x:v>
      </x:c>
      <x:c r="Q9" s="205" t="n">
        <x:f>'Kalibracja — parametry'!$B$6*F9+'Kalibracja — parametry'!$B$7*G9+'Kalibracja — parametry'!$B$8*J9*L9*P9</x:f>
        <x:v>7.1508</x:v>
      </x:c>
      <x:c r="R9" s="205" t="n">
        <x:f>'Kalibracja — parametry'!$B$6*(F9+H9)+'Kalibracja — parametry'!$B$7*(G9+I9)+'Kalibracja — parametry'!$B$8*(J9+K9)*L9*P9</x:f>
        <x:v>10.326</x:v>
      </x:c>
      <x:c r="S9" s="205" t="n">
        <x:f>Q9+R9</x:f>
        <x:v>17.4768</x:v>
      </x:c>
      <x:c r="T9" s="181" t="n">
        <x:f>IFERROR(S9/'Kalibracja — parametry'!$B$10-1,0)</x:f>
        <x:v>0.006646929395094814</x:v>
      </x:c>
      <x:c r="U9" t="str">
        <x:f>IF(T9&gt;'Kalibracja — parametry'!$B$11,"WYSOKA",IF(T9&lt; -'Kalibracja — parametry'!$B$11,"NISKA","W PASMIE"))</x:f>
        <x:v>W PASMIE</x:v>
      </x:c>
      <x:c r="V9" s="91" t="str">
        <x:v>—</x:v>
      </x:c>
      <x:c r="W9" t="str"/>
      <x:c r="X9" t="str">
        <x:v>Suma obrażeń / leczenia / pancerza</x:v>
      </x:c>
      <x:c r="Y9" s="180" t="n">
        <x:f>R9/(1+'Kalibracja — parametry'!$B$12)^'Kalibracja — parametry'!$B$9</x:f>
        <x:v>6.615431136987987</x:v>
      </x:c>
      <x:c r="Z9" s="181" t="n">
        <x:f>IFERROR(Y9/Q9-1,0)</x:f>
        <x:v>-0.0748683871751431</x:v>
      </x:c>
    </x:row>
    <x:row r="10">
      <x:c r="A10" t="str">
        <x:f>'Katalog kart'!A10</x:f>
        <x:v>S04</x:v>
      </x:c>
      <x:c r="B10" t="str">
        <x:f>'Katalog kart'!M10</x:f>
        <x:v>Elfy</x:v>
      </x:c>
      <x:c r="C10" t="str">
        <x:f>'Katalog kart'!D10</x:f>
        <x:v>Tkacz Run</x:v>
      </x:c>
      <x:c r="D10" t="str">
        <x:f>'Katalog kart'!B10</x:f>
        <x:v>Przy wystawieniu</x:v>
      </x:c>
      <x:c r="E10" t="str">
        <x:f>'Katalog kart'!C10</x:f>
        <x:v>ATK ±</x:v>
      </x:c>
      <x:c r="F10" t="n">
        <x:f>'Katalog kart'!E10</x:f>
        <x:v>1</x:v>
      </x:c>
      <x:c r="G10" t="n">
        <x:f>'Katalog kart'!F10</x:f>
        <x:v>4</x:v>
      </x:c>
      <x:c r="H10" t="n">
        <x:f>'Balans — VP3'!H24*'Kalibracja — parametry'!$B$9+'Balans — VP3'!J24</x:f>
        <x:v>6</x:v>
      </x:c>
      <x:c r="I10" t="n">
        <x:f>'Balans — VP3'!I24*'Kalibracja — parametry'!$B$9+'Balans — VP3'!K24</x:f>
        <x:v>0</x:v>
      </x:c>
      <x:c r="J10" s="207" t="n">
        <x:v>3</x:v>
      </x:c>
      <x:c r="K10" s="207" t="n">
        <x:v>1</x:v>
      </x:c>
      <x:c r="L10" s="180" t="n">
        <x:f>IFERROR(VLOOKUP(E10,'Kalibracja — parametry'!$A$18:$G$31,2,FALSE),0)</x:f>
        <x:v>1.05</x:v>
      </x:c>
      <x:c r="M10" s="180" t="n">
        <x:f>IFERROR(VLOOKUP(E10,'Kalibracja — parametry'!$A$18:$G$31,3,FALSE),0)</x:f>
        <x:v>0.8</x:v>
      </x:c>
      <x:c r="N10" s="180" t="n">
        <x:f>IFERROR(VLOOKUP(E10,'Kalibracja — parametry'!$A$18:$G$31,4,FALSE),0)</x:f>
        <x:v>0.72</x:v>
      </x:c>
      <x:c r="O10" s="180" t="n">
        <x:f>IFERROR(VLOOKUP(D10,'Kalibracja — parametry'!$A$35:$D$39,2,FALSE),0)</x:f>
        <x:v>1</x:v>
      </x:c>
      <x:c r="P10" s="180" t="n">
        <x:f>M10*IF(O10&lt;=1,O10,1+(O10-1)*N10)</x:f>
        <x:v>0.8</x:v>
      </x:c>
      <x:c r="Q10" s="205" t="n">
        <x:f>'Kalibracja — parametry'!$B$6*F10+'Kalibracja — parametry'!$B$7*G10+'Kalibracja — parametry'!$B$8*J10*L10*P10</x:f>
        <x:v>5.32</x:v>
      </x:c>
      <x:c r="R10" s="205" t="n">
        <x:f>'Kalibracja — parametry'!$B$6*(F10+H10)+'Kalibracja — parametry'!$B$7*(G10+I10)+'Kalibracja — parametry'!$B$8*(J10+K10)*L10*P10</x:f>
        <x:v>12.16</x:v>
      </x:c>
      <x:c r="S10" s="205" t="n">
        <x:f>Q10+R10</x:f>
        <x:v>17.48</x:v>
      </x:c>
      <x:c r="T10" s="181" t="n">
        <x:f>IFERROR(S10/'Kalibracja — parametry'!$B$10-1,0)</x:f>
        <x:v>0.006831246328060869</x:v>
      </x:c>
      <x:c r="U10" t="str">
        <x:f>IF(T10&gt;'Kalibracja — parametry'!$B$11,"WYSOKA",IF(T10&lt; -'Kalibracja — parametry'!$B$11,"NISKA","W PASMIE"))</x:f>
        <x:v>W PASMIE</x:v>
      </x:c>
      <x:c r="V10" s="91" t="str">
        <x:v>—</x:v>
      </x:c>
      <x:c r="W10" t="str"/>
      <x:c r="X10" t="str">
        <x:v>Punkty ATK/MAX HP przy aktywacji</x:v>
      </x:c>
      <x:c r="Y10" s="180" t="n">
        <x:f>R10/(1+'Kalibracja — parametry'!$B$12)^'Kalibracja — parametry'!$B$9</x:f>
        <x:v>7.790397310262824</x:v>
      </x:c>
      <x:c r="Z10" s="181" t="n">
        <x:f>IFERROR(Y10/Q10-1,0)</x:f>
        <x:v>0.4643603966659442</x:v>
      </x:c>
    </x:row>
    <x:row r="11">
      <x:c r="A11" t="str">
        <x:f>'Katalog kart'!A11</x:f>
        <x:v>S08</x:v>
      </x:c>
      <x:c r="B11" t="str">
        <x:f>'Katalog kart'!M11</x:f>
        <x:v>Elfy</x:v>
      </x:c>
      <x:c r="C11" t="str">
        <x:f>'Katalog kart'!D11</x:f>
        <x:v>Mag Tkanki Życia</x:v>
      </x:c>
      <x:c r="D11" t="str">
        <x:f>'Katalog kart'!B11</x:f>
        <x:v>Przy wystawieniu</x:v>
      </x:c>
      <x:c r="E11" t="str">
        <x:f>'Katalog kart'!C11</x:f>
        <x:v>MAX HP ±</x:v>
      </x:c>
      <x:c r="F11" t="n">
        <x:f>'Katalog kart'!E11</x:f>
        <x:v>2</x:v>
      </x:c>
      <x:c r="G11" t="n">
        <x:f>'Katalog kart'!F11</x:f>
        <x:v>7</x:v>
      </x:c>
      <x:c r="H11" t="n">
        <x:f>'Balans — VP3'!H25*'Kalibracja — parametry'!$B$9+'Balans — VP3'!J25</x:f>
        <x:v>0</x:v>
      </x:c>
      <x:c r="I11" t="n">
        <x:f>'Balans — VP3'!I25*'Kalibracja — parametry'!$B$9+'Balans — VP3'!K25</x:f>
        <x:v>6</x:v>
      </x:c>
      <x:c r="J11" s="207" t="n">
        <x:v>4</x:v>
      </x:c>
      <x:c r="K11" s="207" t="n">
        <x:v>1</x:v>
      </x:c>
      <x:c r="L11" s="180" t="n">
        <x:f>IFERROR(VLOOKUP(E11,'Kalibracja — parametry'!$A$18:$G$31,2,FALSE),0)</x:f>
        <x:v>0.52</x:v>
      </x:c>
      <x:c r="M11" s="180" t="n">
        <x:f>IFERROR(VLOOKUP(E11,'Kalibracja — parametry'!$A$18:$G$31,3,FALSE),0)</x:f>
        <x:v>0.8</x:v>
      </x:c>
      <x:c r="N11" s="180" t="n">
        <x:f>IFERROR(VLOOKUP(E11,'Kalibracja — parametry'!$A$18:$G$31,4,FALSE),0)</x:f>
        <x:v>0.72</x:v>
      </x:c>
      <x:c r="O11" s="180" t="n">
        <x:f>IFERROR(VLOOKUP(D11,'Kalibracja — parametry'!$A$35:$D$39,2,FALSE),0)</x:f>
        <x:v>1</x:v>
      </x:c>
      <x:c r="P11" s="180" t="n">
        <x:f>M11*IF(O11&lt;=1,O11,1+(O11-1)*N11)</x:f>
        <x:v>0.8</x:v>
      </x:c>
      <x:c r="Q11" s="205" t="n">
        <x:f>'Kalibracja — parametry'!$B$6*F11+'Kalibracja — parametry'!$B$7*G11+'Kalibracja — parametry'!$B$8*J11*L11*P11</x:f>
        <x:v>6.814</x:v>
      </x:c>
      <x:c r="R11" s="205" t="n">
        <x:f>'Kalibracja — parametry'!$B$6*(F11+H11)+'Kalibracja — parametry'!$B$7*(G11+I11)+'Kalibracja — parametry'!$B$8*(J11+K11)*L11*P11</x:f>
        <x:v>9.93</x:v>
      </x:c>
      <x:c r="S11" s="205" t="n">
        <x:f>Q11+R11</x:f>
        <x:v>16.744</x:v>
      </x:c>
      <x:c r="T11" s="181" t="n">
        <x:f>IFERROR(S11/'Kalibracja — parametry'!$B$10-1,0)</x:f>
        <x:v>-0.035561648254173295</x:v>
      </x:c>
      <x:c r="U11" t="str">
        <x:f>IF(T11&gt;'Kalibracja — parametry'!$B$11,"WYSOKA",IF(T11&lt; -'Kalibracja — parametry'!$B$11,"NISKA","W PASMIE"))</x:f>
        <x:v>W PASMIE</x:v>
      </x:c>
      <x:c r="V11" s="91" t="str">
        <x:v>—</x:v>
      </x:c>
      <x:c r="W11" t="str"/>
      <x:c r="X11" t="str">
        <x:v>Punkty ATK/MAX HP przy aktywacji</x:v>
      </x:c>
      <x:c r="Y11" s="180" t="n">
        <x:f>R11/(1+'Kalibracja — parametry'!$B$12)^'Kalibracja — parametry'!$B$9</x:f>
        <x:v>6.361730698265612</x:v>
      </x:c>
      <x:c r="Z11" s="181" t="n">
        <x:f>IFERROR(Y11/Q11-1,0)</x:f>
        <x:v>-0.06637354002559259</x:v>
      </x:c>
    </x:row>
    <x:row r="12">
      <x:c r="A12" t="str">
        <x:f>'Katalog kart'!A12</x:f>
        <x:v>S03</x:v>
      </x:c>
      <x:c r="B12" t="str">
        <x:f>'Katalog kart'!M12</x:f>
        <x:v>Elfy</x:v>
      </x:c>
      <x:c r="C12" t="str">
        <x:f>'Katalog kart'!D12</x:f>
        <x:v>Zaklinacz Runicznej Zbroi</x:v>
      </x:c>
      <x:c r="D12" t="str">
        <x:f>'Katalog kart'!B12</x:f>
        <x:v>Przy wystawieniu</x:v>
      </x:c>
      <x:c r="E12" t="str">
        <x:f>'Katalog kart'!C12</x:f>
        <x:v>Pancerz</x:v>
      </x:c>
      <x:c r="F12" t="n">
        <x:f>'Katalog kart'!E12</x:f>
        <x:v>2</x:v>
      </x:c>
      <x:c r="G12" t="n">
        <x:f>'Katalog kart'!F12</x:f>
        <x:v>7</x:v>
      </x:c>
      <x:c r="H12" t="n">
        <x:f>'Balans — VP3'!H26*'Kalibracja — parametry'!$B$9+'Balans — VP3'!J26</x:f>
        <x:v>0</x:v>
      </x:c>
      <x:c r="I12" t="n">
        <x:f>'Balans — VP3'!I26*'Kalibracja — parametry'!$B$9+'Balans — VP3'!K26</x:f>
        <x:v>6</x:v>
      </x:c>
      <x:c r="J12" s="207" t="n">
        <x:v>4</x:v>
      </x:c>
      <x:c r="K12" s="207" t="n">
        <x:v>1</x:v>
      </x:c>
      <x:c r="L12" s="180" t="n">
        <x:f>IFERROR(VLOOKUP(E12,'Kalibracja — parametry'!$A$18:$G$31,2,FALSE),0)</x:f>
        <x:v>0.55</x:v>
      </x:c>
      <x:c r="M12" s="180" t="n">
        <x:f>IFERROR(VLOOKUP(E12,'Kalibracja — parametry'!$A$18:$G$31,3,FALSE),0)</x:f>
        <x:v>0.76</x:v>
      </x:c>
      <x:c r="N12" s="180" t="n">
        <x:f>IFERROR(VLOOKUP(E12,'Kalibracja — parametry'!$A$18:$G$31,4,FALSE),0)</x:f>
        <x:v>0.64</x:v>
      </x:c>
      <x:c r="O12" s="180" t="n">
        <x:f>IFERROR(VLOOKUP(D12,'Kalibracja — parametry'!$A$35:$D$39,2,FALSE),0)</x:f>
        <x:v>1</x:v>
      </x:c>
      <x:c r="P12" s="180" t="n">
        <x:f>M12*IF(O12&lt;=1,O12,1+(O12-1)*N12)</x:f>
        <x:v>0.76</x:v>
      </x:c>
      <x:c r="Q12" s="205" t="n">
        <x:f>'Kalibracja — parametry'!$B$6*F12+'Kalibracja — parametry'!$B$7*G12+'Kalibracja — parametry'!$B$8*J12*L12*P12</x:f>
        <x:v>6.822000000000001</x:v>
      </x:c>
      <x:c r="R12" s="205" t="n">
        <x:f>'Kalibracja — parametry'!$B$6*(F12+H12)+'Kalibracja — parametry'!$B$7*(G12+I12)+'Kalibracja — parametry'!$B$8*(J12+K12)*L12*P12</x:f>
        <x:v>9.940000000000001</x:v>
      </x:c>
      <x:c r="S12" s="205" t="n">
        <x:f>Q12+R12</x:f>
        <x:v>16.762</x:v>
      </x:c>
      <x:c r="T12" s="181" t="n">
        <x:f>IFERROR(S12/'Kalibracja — parametry'!$B$10-1,0)</x:f>
        <x:v>-0.03452486550623812</x:v>
      </x:c>
      <x:c r="U12" t="str">
        <x:f>IF(T12&gt;'Kalibracja — parametry'!$B$11,"WYSOKA",IF(T12&lt; -'Kalibracja — parametry'!$B$11,"NISKA","W PASMIE"))</x:f>
        <x:v>W PASMIE</x:v>
      </x:c>
      <x:c r="V12" s="91" t="str">
        <x:v>—</x:v>
      </x:c>
      <x:c r="W12" t="str"/>
      <x:c r="X12" t="str">
        <x:v>Suma obrażeń / leczenia / pancerza</x:v>
      </x:c>
      <x:c r="Y12" s="180" t="n">
        <x:f>R12/(1+'Kalibracja — parametry'!$B$12)^'Kalibracja — parametry'!$B$9</x:f>
        <x:v>6.368137275001026</x:v>
      </x:c>
      <x:c r="Z12" s="181" t="n">
        <x:f>IFERROR(Y12/Q12-1,0)</x:f>
        <x:v>-0.06652927660495078</x:v>
      </x:c>
    </x:row>
    <x:row r="13">
      <x:c r="A13" t="str">
        <x:f>'Katalog kart'!A13</x:f>
        <x:v>S05</x:v>
      </x:c>
      <x:c r="B13" t="str">
        <x:f>'Katalog kart'!M13</x:f>
        <x:v>Elfy</x:v>
      </x:c>
      <x:c r="C13" t="str">
        <x:f>'Katalog kart'!D13</x:f>
        <x:v>Strażniczka Księżycowej Pieczęci</x:v>
      </x:c>
      <x:c r="D13" t="str">
        <x:f>'Katalog kart'!B13</x:f>
        <x:v>Przy wystawieniu</x:v>
      </x:c>
      <x:c r="E13" t="str">
        <x:f>'Katalog kart'!C13</x:f>
        <x:v>Tarcza</x:v>
      </x:c>
      <x:c r="F13" t="n">
        <x:f>'Katalog kart'!E13</x:f>
        <x:v>3</x:v>
      </x:c>
      <x:c r="G13" t="n">
        <x:f>'Katalog kart'!F13</x:f>
        <x:v>6</x:v>
      </x:c>
      <x:c r="H13" t="n">
        <x:f>'Balans — VP3'!H27*'Kalibracja — parametry'!$B$9+'Balans — VP3'!J27</x:f>
        <x:v>0</x:v>
      </x:c>
      <x:c r="I13" t="n">
        <x:f>'Balans — VP3'!I27*'Kalibracja — parametry'!$B$9+'Balans — VP3'!K27</x:f>
        <x:v>9</x:v>
      </x:c>
      <x:c r="J13" s="207" t="n">
        <x:v>1</x:v>
      </x:c>
      <x:c r="K13" s="207" t="n">
        <x:v>0</x:v>
      </x:c>
      <x:c r="L13" s="180" t="n">
        <x:f>IFERROR(VLOOKUP(E13,'Kalibracja — parametry'!$A$18:$G$31,2,FALSE),0)</x:f>
        <x:v>2.2</x:v>
      </x:c>
      <x:c r="M13" s="180" t="n">
        <x:f>IFERROR(VLOOKUP(E13,'Kalibracja — parametry'!$A$18:$G$31,3,FALSE),0)</x:f>
        <x:v>0.67</x:v>
      </x:c>
      <x:c r="N13" s="180" t="n">
        <x:f>IFERROR(VLOOKUP(E13,'Kalibracja — parametry'!$A$18:$G$31,4,FALSE),0)</x:f>
        <x:v>0.23</x:v>
      </x:c>
      <x:c r="O13" s="180" t="n">
        <x:f>IFERROR(VLOOKUP(D13,'Kalibracja — parametry'!$A$35:$D$39,2,FALSE),0)</x:f>
        <x:v>1</x:v>
      </x:c>
      <x:c r="P13" s="180" t="n">
        <x:f>M13*IF(O13&lt;=1,O13,1+(O13-1)*N13)</x:f>
        <x:v>0.67</x:v>
      </x:c>
      <x:c r="Q13" s="205" t="n">
        <x:f>'Kalibracja — parametry'!$B$6*F13+'Kalibracja — parametry'!$B$7*G13+'Kalibracja — parametry'!$B$8*J13*L13*P13</x:f>
        <x:v>7.174</x:v>
      </x:c>
      <x:c r="R13" s="205" t="n">
        <x:f>'Kalibracja — parametry'!$B$6*(F13+H13)+'Kalibracja — parametry'!$B$7*(G13+I13)+'Kalibracja — parametry'!$B$8*(J13+K13)*L13*P13</x:f>
        <x:v>11.224</x:v>
      </x:c>
      <x:c r="S13" s="205" t="n">
        <x:f>Q13+R13</x:f>
        <x:v>18.398</x:v>
      </x:c>
      <x:c r="T13" s="181" t="n">
        <x:f>IFERROR(S13/'Kalibracja — parametry'!$B$10-1,0)</x:f>
        <x:v>0.05970716647274976</x:v>
      </x:c>
      <x:c r="U13" t="str">
        <x:f>IF(T13&gt;'Kalibracja — parametry'!$B$11,"WYSOKA",IF(T13&lt; -'Kalibracja — parametry'!$B$11,"NISKA","W PASMIE"))</x:f>
        <x:v>W PASMIE</x:v>
      </x:c>
      <x:c r="V13" s="91" t="str">
        <x:v>—</x:v>
      </x:c>
      <x:c r="W13" t="str">
        <x:v>Premia co 3T jest w statystykach, nie w liczbie ładunków/ataków.</x:v>
      </x:c>
      <x:c r="X13" t="str">
        <x:v>Jeden status lub możliwość</x:v>
      </x:c>
      <x:c r="Y13" s="180" t="n">
        <x:f>R13/(1+'Kalibracja — parametry'!$B$12)^'Kalibracja — parametry'!$B$9</x:f>
        <x:v>7.1907417278281205</x:v>
      </x:c>
      <x:c r="Z13" s="181" t="n">
        <x:f>IFERROR(Y13/Q13-1,0)</x:f>
        <x:v>0.0023336671073488358</x:v>
      </x:c>
    </x:row>
    <x:row r="14">
      <x:c r="A14" t="str">
        <x:f>'Katalog kart'!A14</x:f>
        <x:v>S58</x:v>
      </x:c>
      <x:c r="B14" t="str">
        <x:f>'Katalog kart'!M14</x:f>
        <x:v>Elfy</x:v>
      </x:c>
      <x:c r="C14" t="str">
        <x:f>'Katalog kart'!D14</x:f>
        <x:v>Alchemik Jadowych Korzeni</x:v>
      </x:c>
      <x:c r="D14" t="str">
        <x:f>'Katalog kart'!B14</x:f>
        <x:v>Przy wystawieniu</x:v>
      </x:c>
      <x:c r="E14" t="str">
        <x:f>'Katalog kart'!C14</x:f>
        <x:v>Trucizna</x:v>
      </x:c>
      <x:c r="F14" t="n">
        <x:f>'Katalog kart'!E14</x:f>
        <x:v>1</x:v>
      </x:c>
      <x:c r="G14" t="n">
        <x:f>'Katalog kart'!F14</x:f>
        <x:v>5</x:v>
      </x:c>
      <x:c r="H14" t="n">
        <x:f>'Balans — VP3'!H28*'Kalibracja — parametry'!$B$9+'Balans — VP3'!J28</x:f>
        <x:v>6</x:v>
      </x:c>
      <x:c r="I14" t="n">
        <x:f>'Balans — VP3'!I28*'Kalibracja — parametry'!$B$9+'Balans — VP3'!K28</x:f>
        <x:v>0</x:v>
      </x:c>
      <x:c r="J14" s="207" t="n">
        <x:v>4</x:v>
      </x:c>
      <x:c r="K14" s="207" t="n">
        <x:v>1</x:v>
      </x:c>
      <x:c r="L14" s="180" t="n">
        <x:f>IFERROR(VLOOKUP(E14,'Kalibracja — parametry'!$A$18:$G$31,2,FALSE),0)</x:f>
        <x:v>0.78</x:v>
      </x:c>
      <x:c r="M14" s="180" t="n">
        <x:f>IFERROR(VLOOKUP(E14,'Kalibracja — parametry'!$A$18:$G$31,3,FALSE),0)</x:f>
        <x:v>0.72</x:v>
      </x:c>
      <x:c r="N14" s="180" t="n">
        <x:f>IFERROR(VLOOKUP(E14,'Kalibracja — parametry'!$A$18:$G$31,4,FALSE),0)</x:f>
        <x:v>0.55</x:v>
      </x:c>
      <x:c r="O14" s="180" t="n">
        <x:f>IFERROR(VLOOKUP(D14,'Kalibracja — parametry'!$A$35:$D$39,2,FALSE),0)</x:f>
        <x:v>1</x:v>
      </x:c>
      <x:c r="P14" s="180" t="n">
        <x:f>M14*IF(O14&lt;=1,O14,1+(O14-1)*N14)</x:f>
        <x:v>0.72</x:v>
      </x:c>
      <x:c r="Q14" s="205" t="n">
        <x:f>'Kalibracja — parametry'!$B$6*F14+'Kalibracja — parametry'!$B$7*G14+'Kalibracja — parametry'!$B$8*J14*L14*P14</x:f>
        <x:v>5.4963999999999995</x:v>
      </x:c>
      <x:c r="R14" s="205" t="n">
        <x:f>'Kalibracja — parametry'!$B$6*(F14+H14)+'Kalibracja — parametry'!$B$7*(G14+I14)+'Kalibracja — parametry'!$B$8*(J14+K14)*L14*P14</x:f>
        <x:v>12.058</x:v>
      </x:c>
      <x:c r="S14" s="205" t="n">
        <x:f>Q14+R14</x:f>
        <x:v>17.5544</x:v>
      </x:c>
      <x:c r="T14" s="181" t="n">
        <x:f>IFERROR(S14/'Kalibracja — parametry'!$B$10-1,0)</x:f>
        <x:v>0.011116615019525877</x:v>
      </x:c>
      <x:c r="U14" t="str">
        <x:f>IF(T14&gt;'Kalibracja — parametry'!$B$11,"WYSOKA",IF(T14&lt; -'Kalibracja — parametry'!$B$11,"NISKA","W PASMIE"))</x:f>
        <x:v>W PASMIE</x:v>
      </x:c>
      <x:c r="V14" s="91" t="str">
        <x:v>—</x:v>
      </x:c>
      <x:c r="W14" t="str"/>
      <x:c r="X14" t="str">
        <x:v>Suma obrażeń / leczenia / pancerza</x:v>
      </x:c>
      <x:c r="Y14" s="180" t="n">
        <x:f>R14/(1+'Kalibracja — parametry'!$B$12)^'Kalibracja — parametry'!$B$9</x:f>
        <x:v>7.725050227561606</x:v>
      </x:c>
      <x:c r="Z14" s="181" t="n">
        <x:f>IFERROR(Y14/Q14-1,0)</x:f>
        <x:v>0.4054745337969594</x:v>
      </x:c>
    </x:row>
    <x:row r="15">
      <x:c r="A15" t="str">
        <x:f>'Katalog kart'!A15</x:f>
        <x:v>S59</x:v>
      </x:c>
      <x:c r="B15" t="str">
        <x:f>'Katalog kart'!M15</x:f>
        <x:v>Elfy</x:v>
      </x:c>
      <x:c r="C15" t="str">
        <x:f>'Katalog kart'!D15</x:f>
        <x:v>Tkaczka Uśpienia</x:v>
      </x:c>
      <x:c r="D15" t="str">
        <x:f>'Katalog kart'!B15</x:f>
        <x:v>Przy wystawieniu</x:v>
      </x:c>
      <x:c r="E15" t="str">
        <x:f>'Katalog kart'!C15</x:f>
        <x:v>Ogłuszenie</x:v>
      </x:c>
      <x:c r="F15" t="n">
        <x:f>'Katalog kart'!E15</x:f>
        <x:v>1</x:v>
      </x:c>
      <x:c r="G15" t="n">
        <x:f>'Katalog kart'!F15</x:f>
        <x:v>6</x:v>
      </x:c>
      <x:c r="H15" t="n">
        <x:f>'Balans — VP3'!H29*'Kalibracja — parametry'!$B$9+'Balans — VP3'!J29</x:f>
        <x:v>3</x:v>
      </x:c>
      <x:c r="I15" t="n">
        <x:f>'Balans — VP3'!I29*'Kalibracja — parametry'!$B$9+'Balans — VP3'!K29</x:f>
        <x:v>3</x:v>
      </x:c>
      <x:c r="J15" s="207" t="n">
        <x:v>1</x:v>
      </x:c>
      <x:c r="K15" s="207" t="n">
        <x:v>0</x:v>
      </x:c>
      <x:c r="L15" s="180" t="n">
        <x:f>IFERROR(VLOOKUP(E15,'Kalibracja — parametry'!$A$18:$G$31,2,FALSE),0)</x:f>
        <x:v>2.35</x:v>
      </x:c>
      <x:c r="M15" s="180" t="n">
        <x:f>IFERROR(VLOOKUP(E15,'Kalibracja — parametry'!$A$18:$G$31,3,FALSE),0)</x:f>
        <x:v>0.74</x:v>
      </x:c>
      <x:c r="N15" s="180" t="n">
        <x:f>IFERROR(VLOOKUP(E15,'Kalibracja — parametry'!$A$18:$G$31,4,FALSE),0)</x:f>
        <x:v>0.6</x:v>
      </x:c>
      <x:c r="O15" s="180" t="n">
        <x:f>IFERROR(VLOOKUP(D15,'Kalibracja — parametry'!$A$35:$D$39,2,FALSE),0)</x:f>
        <x:v>1</x:v>
      </x:c>
      <x:c r="P15" s="180" t="n">
        <x:f>M15*IF(O15&lt;=1,O15,1+(O15-1)*N15)</x:f>
        <x:v>0.74</x:v>
      </x:c>
      <x:c r="Q15" s="205" t="n">
        <x:f>'Kalibracja — parametry'!$B$6*F15+'Kalibracja — parametry'!$B$7*G15+'Kalibracja — parametry'!$B$8*J15*L15*P15</x:f>
        <x:v>5.439</x:v>
      </x:c>
      <x:c r="R15" s="205" t="n">
        <x:f>'Kalibracja — parametry'!$B$6*(F15+H15)+'Kalibracja — parametry'!$B$7*(G15+I15)+'Kalibracja — parametry'!$B$8*(J15+K15)*L15*P15</x:f>
        <x:v>9.789000000000001</x:v>
      </x:c>
      <x:c r="S15" s="205" t="n">
        <x:f>Q15+R15</x:f>
        <x:v>15.228000000000002</x:v>
      </x:c>
      <x:c r="T15" s="181" t="n">
        <x:f>IFERROR(S15/'Kalibracja — parametry'!$B$10-1,0)</x:f>
        <x:v>-0.12288179524692722</x:v>
      </x:c>
      <x:c r="U15" t="str">
        <x:f>IF(T15&gt;'Kalibracja — parametry'!$B$11,"WYSOKA",IF(T15&lt; -'Kalibracja — parametry'!$B$11,"NISKA","W PASMIE"))</x:f>
        <x:v>NISKA</x:v>
      </x:c>
      <x:c r="V15" s="91" t="str">
        <x:v>—</x:v>
      </x:c>
      <x:c r="W15" t="str">
        <x:v>ULEPSZENIE PO 3T DO ZDEFINIOWANIA</x:v>
      </x:c>
      <x:c r="X15" t="str">
        <x:v>Jeden status lub możliwość</x:v>
      </x:c>
      <x:c r="Y15" s="180" t="n">
        <x:f>R15/(1+'Kalibracja — parametry'!$B$12)^'Kalibracja — parametry'!$B$9</x:f>
        <x:v>6.271397966296282</x:v>
      </x:c>
      <x:c r="Z15" s="181" t="n">
        <x:f>IFERROR(Y15/Q15-1,0)</x:f>
        <x:v>0.15304246484579553</x:v>
      </x:c>
    </x:row>
    <x:row r="16">
      <x:c r="A16" t="str">
        <x:f>'Katalog kart'!A16</x:f>
        <x:v>S60</x:v>
      </x:c>
      <x:c r="B16" t="str">
        <x:f>'Katalog kart'!M16</x:f>
        <x:v>Elfy</x:v>
      </x:c>
      <x:c r="C16" t="str">
        <x:f>'Katalog kart'!D16</x:f>
        <x:v>Druid Odnowy</x:v>
      </x:c>
      <x:c r="D16" t="str">
        <x:f>'Katalog kart'!B16</x:f>
        <x:v>Przy wystawieniu</x:v>
      </x:c>
      <x:c r="E16" t="str">
        <x:f>'Katalog kart'!C16</x:f>
        <x:v>Regeneracja</x:v>
      </x:c>
      <x:c r="F16" t="n">
        <x:f>'Katalog kart'!E16</x:f>
        <x:v>3</x:v>
      </x:c>
      <x:c r="G16" t="n">
        <x:f>'Katalog kart'!F16</x:f>
        <x:v>6</x:v>
      </x:c>
      <x:c r="H16" t="n">
        <x:f>'Balans — VP3'!H30*'Kalibracja — parametry'!$B$9+'Balans — VP3'!J30</x:f>
        <x:v>0</x:v>
      </x:c>
      <x:c r="I16" t="n">
        <x:f>'Balans — VP3'!I30*'Kalibracja — parametry'!$B$9+'Balans — VP3'!K30</x:f>
        <x:v>6</x:v>
      </x:c>
      <x:c r="J16" s="207" t="n">
        <x:v>6</x:v>
      </x:c>
      <x:c r="K16" s="207" t="n">
        <x:v>1</x:v>
      </x:c>
      <x:c r="L16" s="180" t="n">
        <x:f>IFERROR(VLOOKUP(E16,'Kalibracja — parametry'!$A$18:$G$31,2,FALSE),0)</x:f>
        <x:v>0.41</x:v>
      </x:c>
      <x:c r="M16" s="180" t="n">
        <x:f>IFERROR(VLOOKUP(E16,'Kalibracja — parametry'!$A$18:$G$31,3,FALSE),0)</x:f>
        <x:v>0.66</x:v>
      </x:c>
      <x:c r="N16" s="180" t="n">
        <x:f>IFERROR(VLOOKUP(E16,'Kalibracja — parametry'!$A$18:$G$31,4,FALSE),0)</x:f>
        <x:v>0.51</x:v>
      </x:c>
      <x:c r="O16" s="180" t="n">
        <x:f>IFERROR(VLOOKUP(D16,'Kalibracja — parametry'!$A$35:$D$39,2,FALSE),0)</x:f>
        <x:v>1</x:v>
      </x:c>
      <x:c r="P16" s="180" t="n">
        <x:f>M16*IF(O16&lt;=1,O16,1+(O16-1)*N16)</x:f>
        <x:v>0.66</x:v>
      </x:c>
      <x:c r="Q16" s="205" t="n">
        <x:f>'Kalibracja — parametry'!$B$6*F16+'Kalibracja — parametry'!$B$7*G16+'Kalibracja — parametry'!$B$8*J16*L16*P16</x:f>
        <x:v>7.323600000000001</x:v>
      </x:c>
      <x:c r="R16" s="205" t="n">
        <x:f>'Kalibracja — parametry'!$B$6*(F16+H16)+'Kalibracja — parametry'!$B$7*(G16+I16)+'Kalibracja — parametry'!$B$8*(J16+K16)*L16*P16</x:f>
        <x:v>10.2942</x:v>
      </x:c>
      <x:c r="S16" s="205" t="n">
        <x:f>Q16+R16</x:f>
        <x:v>17.617800000000003</x:v>
      </x:c>
      <x:c r="T16" s="181" t="n">
        <x:f>IFERROR(S16/'Kalibracja — parametry'!$B$10-1,0)</x:f>
        <x:v>0.014768394253919626</x:v>
      </x:c>
      <x:c r="U16" t="str">
        <x:f>IF(T16&gt;'Kalibracja — parametry'!$B$11,"WYSOKA",IF(T16&lt; -'Kalibracja — parametry'!$B$11,"NISKA","W PASMIE"))</x:f>
        <x:v>W PASMIE</x:v>
      </x:c>
      <x:c r="V16" s="91" t="str">
        <x:v>—</x:v>
      </x:c>
      <x:c r="W16" t="str"/>
      <x:c r="X16" t="str">
        <x:v>Suma obrażeń / leczenia / pancerza</x:v>
      </x:c>
      <x:c r="Y16" s="180" t="n">
        <x:f>R16/(1+'Kalibracja — parametry'!$B$12)^'Kalibracja — parametry'!$B$9</x:f>
        <x:v>6.595058222969372</x:v>
      </x:c>
      <x:c r="Z16" s="181" t="n">
        <x:f>IFERROR(Y16/Q16-1,0)</x:f>
        <x:v>-0.09947864124619432</x:v>
      </x:c>
    </x:row>
    <x:row r="17">
      <x:c r="A17" t="str">
        <x:f>'Katalog kart'!A17</x:f>
        <x:v>S61</x:v>
      </x:c>
      <x:c r="B17" t="str">
        <x:f>'Katalog kart'!M17</x:f>
        <x:v>Elfy</x:v>
      </x:c>
      <x:c r="C17" t="str">
        <x:f>'Katalog kart'!D17</x:f>
        <x:v>Władczyni Leśnych Więzów</x:v>
      </x:c>
      <x:c r="D17" t="str">
        <x:f>'Katalog kart'!B17</x:f>
        <x:v>Przy wystawieniu</x:v>
      </x:c>
      <x:c r="E17" t="str">
        <x:f>'Katalog kart'!C17</x:f>
        <x:v>Prowokacja</x:v>
      </x:c>
      <x:c r="F17" t="n">
        <x:f>'Katalog kart'!E17</x:f>
        <x:v>3</x:v>
      </x:c>
      <x:c r="G17" t="n">
        <x:f>'Katalog kart'!F17</x:f>
        <x:v>7</x:v>
      </x:c>
      <x:c r="H17" t="n">
        <x:f>'Balans — VP3'!H31*'Kalibracja — parametry'!$B$9+'Balans — VP3'!J31</x:f>
        <x:v>0</x:v>
      </x:c>
      <x:c r="I17" t="n">
        <x:f>'Balans — VP3'!I31*'Kalibracja — parametry'!$B$9+'Balans — VP3'!K31</x:f>
        <x:v>9</x:v>
      </x:c>
      <x:c r="J17" s="207" t="n">
        <x:v>1</x:v>
      </x:c>
      <x:c r="K17" s="207" t="n">
        <x:v>0</x:v>
      </x:c>
      <x:c r="L17" s="180" t="n">
        <x:f>IFERROR(VLOOKUP(E17,'Kalibracja — parametry'!$A$18:$G$31,2,FALSE),0)</x:f>
        <x:v>1.4</x:v>
      </x:c>
      <x:c r="M17" s="180" t="n">
        <x:f>IFERROR(VLOOKUP(E17,'Kalibracja — parametry'!$A$18:$G$31,3,FALSE),0)</x:f>
        <x:v>0.68</x:v>
      </x:c>
      <x:c r="N17" s="180" t="n">
        <x:f>IFERROR(VLOOKUP(E17,'Kalibracja — parametry'!$A$18:$G$31,4,FALSE),0)</x:f>
        <x:v>0.38</x:v>
      </x:c>
      <x:c r="O17" s="180" t="n">
        <x:f>IFERROR(VLOOKUP(D17,'Kalibracja — parametry'!$A$35:$D$39,2,FALSE),0)</x:f>
        <x:v>1</x:v>
      </x:c>
      <x:c r="P17" s="180" t="n">
        <x:f>M17*IF(O17&lt;=1,O17,1+(O17-1)*N17)</x:f>
        <x:v>0.68</x:v>
      </x:c>
      <x:c r="Q17" s="205" t="n">
        <x:f>'Kalibracja — parametry'!$B$6*F17+'Kalibracja — parametry'!$B$7*G17+'Kalibracja — parametry'!$B$8*J17*L17*P17</x:f>
        <x:v>7.102</x:v>
      </x:c>
      <x:c r="R17" s="205" t="n">
        <x:f>'Kalibracja — parametry'!$B$6*(F17+H17)+'Kalibracja — parametry'!$B$7*(G17+I17)+'Kalibracja — parametry'!$B$8*(J17+K17)*L17*P17</x:f>
        <x:v>11.152</x:v>
      </x:c>
      <x:c r="S17" s="205" t="n">
        <x:f>Q17+R17</x:f>
        <x:v>18.253999999999998</x:v>
      </x:c>
      <x:c r="T17" s="181" t="n">
        <x:f>IFERROR(S17/'Kalibracja — parametry'!$B$10-1,0)</x:f>
        <x:v>0.05141290448926905</x:v>
      </x:c>
      <x:c r="U17" t="str">
        <x:f>IF(T17&gt;'Kalibracja — parametry'!$B$11,"WYSOKA",IF(T17&lt; -'Kalibracja — parametry'!$B$11,"NISKA","W PASMIE"))</x:f>
        <x:v>W PASMIE</x:v>
      </x:c>
      <x:c r="V17" s="91" t="str">
        <x:v>—</x:v>
      </x:c>
      <x:c r="W17" t="str">
        <x:v>Premia co 3T jest w statystykach, nie w liczbie ładunków/ataków.</x:v>
      </x:c>
      <x:c r="X17" t="str">
        <x:v>Jeden status lub możliwość</x:v>
      </x:c>
      <x:c r="Y17" s="180" t="n">
        <x:f>R17/(1+'Kalibracja — parametry'!$B$12)^'Kalibracja — parametry'!$B$9</x:f>
        <x:v>7.144614375333142</x:v>
      </x:c>
      <x:c r="Z17" s="181" t="n">
        <x:f>IFERROR(Y17/Q17-1,0)</x:f>
        <x:v>0.006000334459749679</x:v>
      </x:c>
    </x:row>
    <x:row r="18">
      <x:c r="A18" t="str">
        <x:f>'Katalog kart'!A18</x:f>
        <x:v>S07</x:v>
      </x:c>
      <x:c r="B18" t="str">
        <x:f>'Katalog kart'!M18</x:f>
        <x:v>Elfy</x:v>
      </x:c>
      <x:c r="C18" t="str">
        <x:f>'Katalog kart'!D18</x:f>
        <x:v>Kapłanka Oczyszczenia</x:v>
      </x:c>
      <x:c r="D18" t="str">
        <x:f>'Katalog kart'!B18</x:f>
        <x:v>Przy wystawieniu</x:v>
      </x:c>
      <x:c r="E18" t="str">
        <x:f>'Katalog kart'!C18</x:f>
        <x:v>Oczyszczanie</x:v>
      </x:c>
      <x:c r="F18" t="n">
        <x:f>'Katalog kart'!E18</x:f>
        <x:v>2</x:v>
      </x:c>
      <x:c r="G18" t="n">
        <x:f>'Katalog kart'!F18</x:f>
        <x:v>6</x:v>
      </x:c>
      <x:c r="H18" t="n">
        <x:f>'Balans — VP3'!H32*'Kalibracja — parametry'!$B$9+'Balans — VP3'!J32</x:f>
        <x:v>3</x:v>
      </x:c>
      <x:c r="I18" t="n">
        <x:f>'Balans — VP3'!I32*'Kalibracja — parametry'!$B$9+'Balans — VP3'!K32</x:f>
        <x:v>3</x:v>
      </x:c>
      <x:c r="J18" s="207" t="n">
        <x:v>1</x:v>
      </x:c>
      <x:c r="K18" s="207" t="n">
        <x:v>0</x:v>
      </x:c>
      <x:c r="L18" s="180" t="n">
        <x:f>IFERROR(VLOOKUP(E18,'Kalibracja — parametry'!$A$18:$G$31,2,FALSE),0)</x:f>
        <x:v>1.55</x:v>
      </x:c>
      <x:c r="M18" s="180" t="n">
        <x:f>IFERROR(VLOOKUP(E18,'Kalibracja — parametry'!$A$18:$G$31,3,FALSE),0)</x:f>
        <x:v>0.45</x:v>
      </x:c>
      <x:c r="N18" s="180" t="n">
        <x:f>IFERROR(VLOOKUP(E18,'Kalibracja — parametry'!$A$18:$G$31,4,FALSE),0)</x:f>
        <x:v>0.45</x:v>
      </x:c>
      <x:c r="O18" s="180" t="n">
        <x:f>IFERROR(VLOOKUP(D18,'Kalibracja — parametry'!$A$35:$D$39,2,FALSE),0)</x:f>
        <x:v>1</x:v>
      </x:c>
      <x:c r="P18" s="180" t="n">
        <x:f>M18*IF(O18&lt;=1,O18,1+(O18-1)*N18)</x:f>
        <x:v>0.45</x:v>
      </x:c>
      <x:c r="Q18" s="205" t="n">
        <x:f>'Kalibracja — parametry'!$B$6*F18+'Kalibracja — parametry'!$B$7*G18+'Kalibracja — parametry'!$B$8*J18*L18*P18</x:f>
        <x:v>5.3975</x:v>
      </x:c>
      <x:c r="R18" s="205" t="n">
        <x:f>'Kalibracja — parametry'!$B$6*(F18+H18)+'Kalibracja — parametry'!$B$7*(G18+I18)+'Kalibracja — parametry'!$B$8*(J18+K18)*L18*P18</x:f>
        <x:v>9.7475</x:v>
      </x:c>
      <x:c r="S18" s="205" t="n">
        <x:f>Q18+R18</x:f>
        <x:v>15.145</x:v>
      </x:c>
      <x:c r="T18" s="181" t="n">
        <x:f>IFERROR(S18/'Kalibracja — parametry'!$B$10-1,0)</x:f>
        <x:v>-0.12766251569573905</x:v>
      </x:c>
      <x:c r="U18" t="str">
        <x:f>IF(T18&gt;'Kalibracja — parametry'!$B$11,"WYSOKA",IF(T18&lt; -'Kalibracja — parametry'!$B$11,"NISKA","W PASMIE"))</x:f>
        <x:v>NISKA</x:v>
      </x:c>
      <x:c r="V18" s="91" t="str">
        <x:v>—</x:v>
      </x:c>
      <x:c r="W18" t="str">
        <x:v>ULEPSZENIE PO 3T DO ZDEFINIOWANIA</x:v>
      </x:c>
      <x:c r="X18" t="str">
        <x:v>Jeden status lub możliwość</x:v>
      </x:c>
      <x:c r="Y18" s="180" t="n">
        <x:f>R18/(1+'Kalibracja — parametry'!$B$12)^'Kalibracja — parametry'!$B$9</x:f>
        <x:v>6.2448106728443165</x:v>
      </x:c>
      <x:c r="Z18" s="181" t="n">
        <x:f>IFERROR(Y18/Q18-1,0)</x:f>
        <x:v>0.15698206074003074</x:v>
      </x:c>
    </x:row>
    <x:row r="19">
      <x:c r="A19" t="str">
        <x:f>'Katalog kart'!A19</x:f>
        <x:v>S64</x:v>
      </x:c>
      <x:c r="B19" t="str">
        <x:f>'Katalog kart'!M19</x:f>
        <x:v>Elfy</x:v>
      </x:c>
      <x:c r="C19" t="str">
        <x:f>'Katalog kart'!D19</x:f>
        <x:v>Strażnik Zaklęć Ochronnych</x:v>
      </x:c>
      <x:c r="D19" t="str">
        <x:f>'Katalog kart'!B19</x:f>
        <x:v>Przy wystawieniu</x:v>
      </x:c>
      <x:c r="E19" t="str">
        <x:f>'Katalog kart'!C19</x:f>
        <x:v>Odporność</x:v>
      </x:c>
      <x:c r="F19" t="n">
        <x:f>'Katalog kart'!E19</x:f>
        <x:v>4</x:v>
      </x:c>
      <x:c r="G19" t="n">
        <x:f>'Katalog kart'!F19</x:f>
        <x:v>6</x:v>
      </x:c>
      <x:c r="H19" t="n">
        <x:f>'Balans — VP3'!H33*'Kalibracja — parametry'!$B$9+'Balans — VP3'!J33</x:f>
        <x:v>0</x:v>
      </x:c>
      <x:c r="I19" t="n">
        <x:f>'Balans — VP3'!I33*'Kalibracja — parametry'!$B$9+'Balans — VP3'!K33</x:f>
        <x:v>6</x:v>
      </x:c>
      <x:c r="J19" s="207" t="n">
        <x:v>1</x:v>
      </x:c>
      <x:c r="K19" s="207" t="n">
        <x:v>0</x:v>
      </x:c>
      <x:c r="L19" s="180" t="n">
        <x:f>IFERROR(VLOOKUP(E19,'Kalibracja — parametry'!$A$18:$G$31,2,FALSE),0)</x:f>
        <x:v>1.2</x:v>
      </x:c>
      <x:c r="M19" s="180" t="n">
        <x:f>IFERROR(VLOOKUP(E19,'Kalibracja — parametry'!$A$18:$G$31,3,FALSE),0)</x:f>
        <x:v>0.55</x:v>
      </x:c>
      <x:c r="N19" s="180" t="n">
        <x:f>IFERROR(VLOOKUP(E19,'Kalibracja — parametry'!$A$18:$G$31,4,FALSE),0)</x:f>
        <x:v>0.38</x:v>
      </x:c>
      <x:c r="O19" s="180" t="n">
        <x:f>IFERROR(VLOOKUP(D19,'Kalibracja — parametry'!$A$35:$D$39,2,FALSE),0)</x:f>
        <x:v>1</x:v>
      </x:c>
      <x:c r="P19" s="180" t="n">
        <x:f>M19*IF(O19&lt;=1,O19,1+(O19-1)*N19)</x:f>
        <x:v>0.55</x:v>
      </x:c>
      <x:c r="Q19" s="205" t="n">
        <x:f>'Kalibracja — parametry'!$B$6*F19+'Kalibracja — parametry'!$B$7*G19+'Kalibracja — parametry'!$B$8*J19*L19*P19</x:f>
        <x:v>7.36</x:v>
      </x:c>
      <x:c r="R19" s="205" t="n">
        <x:f>'Kalibracja — parametry'!$B$6*(F19+H19)+'Kalibracja — parametry'!$B$7*(G19+I19)+'Kalibracja — parametry'!$B$8*(J19+K19)*L19*P19</x:f>
        <x:v>10.06</x:v>
      </x:c>
      <x:c r="S19" s="205" t="n">
        <x:f>Q19+R19</x:f>
        <x:v>17.42</x:v>
      </x:c>
      <x:c r="T19" s="181" t="n">
        <x:f>IFERROR(S19/'Kalibracja — parametry'!$B$10-1,0)</x:f>
        <x:v>0.003375303834943999</x:v>
      </x:c>
      <x:c r="U19" t="str">
        <x:f>IF(T19&gt;'Kalibracja — parametry'!$B$11,"WYSOKA",IF(T19&lt; -'Kalibracja — parametry'!$B$11,"NISKA","W PASMIE"))</x:f>
        <x:v>W PASMIE</x:v>
      </x:c>
      <x:c r="V19" s="91" t="str">
        <x:v>—</x:v>
      </x:c>
      <x:c r="W19" t="str">
        <x:v>ULEPSZENIE PO 3T DO ZDEFINIOWANIA</x:v>
      </x:c>
      <x:c r="X19" t="str">
        <x:v>Jeden status lub możliwość</x:v>
      </x:c>
      <x:c r="Y19" s="180" t="n">
        <x:f>R19/(1+'Kalibracja — parametry'!$B$12)^'Kalibracja — parametry'!$B$9</x:f>
        <x:v>6.445016195825988</x:v>
      </x:c>
      <x:c r="Z19" s="181" t="n">
        <x:f>IFERROR(Y19/Q19-1,0)</x:f>
        <x:v>-0.12431845165407773</x:v>
      </x:c>
    </x:row>
    <x:row r="20">
      <x:c r="A20" t="str">
        <x:f>'Katalog kart'!A20</x:f>
        <x:v>S66</x:v>
      </x:c>
      <x:c r="B20" t="str">
        <x:f>'Katalog kart'!M20</x:f>
        <x:v>Elfy</x:v>
      </x:c>
      <x:c r="C20" t="str">
        <x:f>'Katalog kart'!D20</x:f>
        <x:v>Mag Migotliwego Kroku</x:v>
      </x:c>
      <x:c r="D20" t="str">
        <x:f>'Katalog kart'!B20</x:f>
        <x:v>Przy wystawieniu</x:v>
      </x:c>
      <x:c r="E20" t="str">
        <x:f>'Katalog kart'!C20</x:f>
        <x:v>Szybki atak</x:v>
      </x:c>
      <x:c r="F20" t="n">
        <x:f>'Katalog kart'!E20</x:f>
        <x:v>2</x:v>
      </x:c>
      <x:c r="G20" t="n">
        <x:f>'Katalog kart'!F20</x:f>
        <x:v>4</x:v>
      </x:c>
      <x:c r="H20" t="n">
        <x:f>'Balans — VP3'!H34*'Kalibracja — parametry'!$B$9+'Balans — VP3'!J34</x:f>
        <x:v>8</x:v>
      </x:c>
      <x:c r="I20" t="n">
        <x:f>'Balans — VP3'!I34*'Kalibracja — parametry'!$B$9+'Balans — VP3'!K34</x:f>
        <x:v>1</x:v>
      </x:c>
      <x:c r="J20" s="207" t="n">
        <x:v>1</x:v>
      </x:c>
      <x:c r="K20" s="207" t="n">
        <x:v>0</x:v>
      </x:c>
      <x:c r="L20" s="180" t="n">
        <x:f>IFERROR(VLOOKUP(E20,'Kalibracja — parametry'!$A$18:$G$31,2,FALSE),0)</x:f>
        <x:v>1.8</x:v>
      </x:c>
      <x:c r="M20" s="180" t="n">
        <x:f>IFERROR(VLOOKUP(E20,'Kalibracja — parametry'!$A$18:$G$31,3,FALSE),0)</x:f>
        <x:v>0.58</x:v>
      </x:c>
      <x:c r="N20" s="180" t="n">
        <x:f>IFERROR(VLOOKUP(E20,'Kalibracja — parametry'!$A$18:$G$31,4,FALSE),0)</x:f>
        <x:v>0.37</x:v>
      </x:c>
      <x:c r="O20" s="180" t="n">
        <x:f>IFERROR(VLOOKUP(D20,'Kalibracja — parametry'!$A$35:$D$39,2,FALSE),0)</x:f>
        <x:v>1</x:v>
      </x:c>
      <x:c r="P20" s="180" t="n">
        <x:f>M20*IF(O20&lt;=1,O20,1+(O20-1)*N20)</x:f>
        <x:v>0.58</x:v>
      </x:c>
      <x:c r="Q20" s="205" t="n">
        <x:f>'Kalibracja — parametry'!$B$6*F20+'Kalibracja — parametry'!$B$7*G20+'Kalibracja — parametry'!$B$8*J20*L20*P20</x:f>
        <x:v>4.843999999999999</x:v>
      </x:c>
      <x:c r="R20" s="205" t="n">
        <x:f>'Kalibracja — parametry'!$B$6*(F20+H20)+'Kalibracja — parametry'!$B$7*(G20+I20)+'Kalibracja — parametry'!$B$8*(J20+K20)*L20*P20</x:f>
        <x:v>13.294</x:v>
      </x:c>
      <x:c r="S20" s="205" t="n">
        <x:f>Q20+R20</x:f>
        <x:v>18.137999999999998</x:v>
      </x:c>
      <x:c r="T20" s="181" t="n">
        <x:f>IFERROR(S20/'Kalibracja — parametry'!$B$10-1,0)</x:f>
        <x:v>0.04473141566924288</x:v>
      </x:c>
      <x:c r="U20" t="str">
        <x:f>IF(T20&gt;'Kalibracja — parametry'!$B$11,"WYSOKA",IF(T20&lt; -'Kalibracja — parametry'!$B$11,"NISKA","W PASMIE"))</x:f>
        <x:v>W PASMIE</x:v>
      </x:c>
      <x:c r="V20" s="91" t="str">
        <x:v>—</x:v>
      </x:c>
      <x:c r="W20" t="str">
        <x:v>Premia co 3T jest w statystykach, nie w liczbie ładunków/ataków.</x:v>
      </x:c>
      <x:c r="X20" t="str">
        <x:v>Jeden status lub możliwość</x:v>
      </x:c>
      <x:c r="Y20" s="180" t="n">
        <x:f>R20/(1+'Kalibracja — parametry'!$B$12)^'Kalibracja — parametry'!$B$9</x:f>
        <x:v>8.516903112058715</x:v>
      </x:c>
      <x:c r="Z20" s="181" t="n">
        <x:f>IFERROR(Y20/Q20-1,0)</x:f>
        <x:v>0.7582376366760355</x:v>
      </x:c>
    </x:row>
    <x:row r="21">
      <x:c r="A21" t="str">
        <x:f>'Katalog kart'!A21</x:f>
        <x:v>S67</x:v>
      </x:c>
      <x:c r="B21" t="str">
        <x:f>'Katalog kart'!M21</x:f>
        <x:v>Elfy</x:v>
      </x:c>
      <x:c r="C21" t="str">
        <x:f>'Katalog kart'!D21</x:f>
        <x:v>Zaklinacz Podwójnego Uderzenia</x:v>
      </x:c>
      <x:c r="D21" t="str">
        <x:f>'Katalog kart'!B21</x:f>
        <x:v>Przy wystawieniu</x:v>
      </x:c>
      <x:c r="E21" t="str">
        <x:f>'Katalog kart'!C21</x:f>
        <x:v>Podwójny atak</x:v>
      </x:c>
      <x:c r="F21" t="n">
        <x:f>'Katalog kart'!E21</x:f>
        <x:v>1</x:v>
      </x:c>
      <x:c r="G21" t="n">
        <x:f>'Katalog kart'!F21</x:f>
        <x:v>5</x:v>
      </x:c>
      <x:c r="H21" t="n">
        <x:f>'Balans — VP3'!H35*'Kalibracja — parametry'!$B$9+'Balans — VP3'!J35</x:f>
        <x:v>8</x:v>
      </x:c>
      <x:c r="I21" t="n">
        <x:f>'Balans — VP3'!I35*'Kalibracja — parametry'!$B$9+'Balans — VP3'!K35</x:f>
        <x:v>0</x:v>
      </x:c>
      <x:c r="J21" s="207" t="n">
        <x:v>1</x:v>
      </x:c>
      <x:c r="K21" s="207" t="n">
        <x:v>0</x:v>
      </x:c>
      <x:c r="L21" s="180" t="n">
        <x:f>IFERROR(VLOOKUP(E21,'Kalibracja — parametry'!$A$18:$G$31,2,FALSE),0)</x:f>
        <x:v>2.55</x:v>
      </x:c>
      <x:c r="M21" s="180" t="n">
        <x:f>IFERROR(VLOOKUP(E21,'Kalibracja — parametry'!$A$18:$G$31,3,FALSE),0)</x:f>
        <x:v>0.68</x:v>
      </x:c>
      <x:c r="N21" s="180" t="n">
        <x:f>IFERROR(VLOOKUP(E21,'Kalibracja — parametry'!$A$18:$G$31,4,FALSE),0)</x:f>
        <x:v>0.53</x:v>
      </x:c>
      <x:c r="O21" s="180" t="n">
        <x:f>IFERROR(VLOOKUP(D21,'Kalibracja — parametry'!$A$35:$D$39,2,FALSE),0)</x:f>
        <x:v>1</x:v>
      </x:c>
      <x:c r="P21" s="180" t="n">
        <x:f>M21*IF(O21&lt;=1,O21,1+(O21-1)*N21)</x:f>
        <x:v>0.68</x:v>
      </x:c>
      <x:c r="Q21" s="205" t="n">
        <x:f>'Kalibracja — parametry'!$B$6*F21+'Kalibracja — parametry'!$B$7*G21+'Kalibracja — parametry'!$B$8*J21*L21*P21</x:f>
        <x:v>4.984</x:v>
      </x:c>
      <x:c r="R21" s="205" t="n">
        <x:f>'Kalibracja — parametry'!$B$6*(F21+H21)+'Kalibracja — parametry'!$B$7*(G21+I21)+'Kalibracja — parametry'!$B$8*(J21+K21)*L21*P21</x:f>
        <x:v>12.984</x:v>
      </x:c>
      <x:c r="S21" s="205" t="n">
        <x:f>Q21+R21</x:f>
        <x:v>17.968</x:v>
      </x:c>
      <x:c r="T21" s="181" t="n">
        <x:f>IFERROR(S21/'Kalibracja — parametry'!$B$10-1,0)</x:f>
        <x:v>0.03493957860541186</x:v>
      </x:c>
      <x:c r="U21" t="str">
        <x:f>IF(T21&gt;'Kalibracja — parametry'!$B$11,"WYSOKA",IF(T21&lt; -'Kalibracja — parametry'!$B$11,"NISKA","W PASMIE"))</x:f>
        <x:v>W PASMIE</x:v>
      </x:c>
      <x:c r="V21" s="91" t="str">
        <x:v>—</x:v>
      </x:c>
      <x:c r="W21" t="str">
        <x:v>Premia co 3T jest w statystykach, nie w liczbie ładunków/ataków.</x:v>
      </x:c>
      <x:c r="X21" t="str">
        <x:v>Jeden status lub możliwość</x:v>
      </x:c>
      <x:c r="Y21" s="180" t="n">
        <x:f>R21/(1+'Kalibracja — parametry'!$B$12)^'Kalibracja — parametry'!$B$9</x:f>
        <x:v>8.318299233260896</x:v>
      </x:c>
      <x:c r="Z21" s="181" t="n">
        <x:f>IFERROR(Y21/Q21-1,0)</x:f>
        <x:v>0.6690006487281093</x:v>
      </x:c>
    </x:row>
    <x:row r="22">
      <x:c r="A22" t="str">
        <x:f>'Katalog kart'!A22</x:f>
        <x:v>S09</x:v>
      </x:c>
      <x:c r="B22" t="str">
        <x:f>'Katalog kart'!M22</x:f>
        <x:v>Dzikie bestie</x:v>
      </x:c>
      <x:c r="C22" t="str">
        <x:f>'Katalog kart'!D22</x:f>
        <x:v>Wilk Szponiasty</x:v>
      </x:c>
      <x:c r="D22" t="str">
        <x:f>'Katalog kart'!B22</x:f>
        <x:v>Przy ataku</x:v>
      </x:c>
      <x:c r="E22" t="str">
        <x:f>'Katalog kart'!C22</x:f>
        <x:v>Obrażenia</x:v>
      </x:c>
      <x:c r="F22" t="n">
        <x:f>'Katalog kart'!E22</x:f>
        <x:v>2</x:v>
      </x:c>
      <x:c r="G22" t="n">
        <x:f>'Katalog kart'!F22</x:f>
        <x:v>5</x:v>
      </x:c>
      <x:c r="H22" t="n">
        <x:f>'Balans — VP3'!H36*'Kalibracja — parametry'!$B$9+'Balans — VP3'!J36</x:f>
        <x:v>6</x:v>
      </x:c>
      <x:c r="I22" t="n">
        <x:f>'Balans — VP3'!I36*'Kalibracja — parametry'!$B$9+'Balans — VP3'!K36</x:f>
        <x:v>0</x:v>
      </x:c>
      <x:c r="J22" s="207" t="n">
        <x:v>1</x:v>
      </x:c>
      <x:c r="K22" s="207" t="n">
        <x:v>1</x:v>
      </x:c>
      <x:c r="L22" s="180" t="n">
        <x:f>IFERROR(VLOOKUP(E22,'Kalibracja — parametry'!$A$18:$G$31,2,FALSE),0)</x:f>
        <x:v>1</x:v>
      </x:c>
      <x:c r="M22" s="180" t="n">
        <x:f>IFERROR(VLOOKUP(E22,'Kalibracja — parametry'!$A$18:$G$31,3,FALSE),0)</x:f>
        <x:v>0.9</x:v>
      </x:c>
      <x:c r="N22" s="180" t="n">
        <x:f>IFERROR(VLOOKUP(E22,'Kalibracja — parametry'!$A$18:$G$31,4,FALSE),0)</x:f>
        <x:v>0.95</x:v>
      </x:c>
      <x:c r="O22" s="180" t="n">
        <x:f>IFERROR(VLOOKUP(D22,'Kalibracja — parametry'!$A$35:$D$39,2,FALSE),0)</x:f>
        <x:v>1.2</x:v>
      </x:c>
      <x:c r="P22" s="180" t="n">
        <x:f>M22*IF(O22&lt;=1,O22,1+(O22-1)*N22)</x:f>
        <x:v>1.071</x:v>
      </x:c>
      <x:c r="Q22" s="205" t="n">
        <x:f>'Kalibracja — parametry'!$B$6*F22+'Kalibracja — parametry'!$B$7*G22+'Kalibracja — parametry'!$B$8*J22*L22*P22</x:f>
        <x:v>5.321</x:v>
      </x:c>
      <x:c r="R22" s="205" t="n">
        <x:f>'Kalibracja — parametry'!$B$6*(F22+H22)+'Kalibracja — parametry'!$B$7*(G22+I22)+'Kalibracja — parametry'!$B$8*(J22+K22)*L22*P22</x:f>
        <x:v>12.392</x:v>
      </x:c>
      <x:c r="S22" s="205" t="n">
        <x:f>Q22+R22</x:f>
        <x:v>17.713</x:v>
      </x:c>
      <x:c r="T22" s="181" t="n">
        <x:f>IFERROR(S22/'Kalibracja — parametry'!$B$10-1,0)</x:f>
        <x:v>0.020251823009664882</x:v>
      </x:c>
      <x:c r="U22" t="str">
        <x:f>IF(T22&gt;'Kalibracja — parametry'!$B$11,"WYSOKA",IF(T22&lt; -'Kalibracja — parametry'!$B$11,"NISKA","W PASMIE"))</x:f>
        <x:v>W PASMIE</x:v>
      </x:c>
      <x:c r="V22" s="91" t="str">
        <x:v>—</x:v>
      </x:c>
      <x:c r="W22" t="str"/>
      <x:c r="X22" t="str">
        <x:v>Suma obrażeń / leczenia / pancerza</x:v>
      </x:c>
      <x:c r="Y22" s="180" t="n">
        <x:f>R22/(1+'Kalibracja — parametry'!$B$12)^'Kalibracja — parametry'!$B$9</x:f>
        <x:v>7.939029890524417</x:v>
      </x:c>
      <x:c r="Z22" s="181" t="n">
        <x:f>IFERROR(Y22/Q22-1,0)</x:f>
        <x:v>0.4920183970164289</x:v>
      </x:c>
    </x:row>
    <x:row r="23">
      <x:c r="A23" t="str">
        <x:f>'Katalog kart'!A23</x:f>
        <x:v>S10</x:v>
      </x:c>
      <x:c r="B23" t="str">
        <x:f>'Katalog kart'!M23</x:f>
        <x:v>Dzikie bestie</x:v>
      </x:c>
      <x:c r="C23" t="str">
        <x:f>'Katalog kart'!D23</x:f>
        <x:v>Nietoperz Krwiożerca</x:v>
      </x:c>
      <x:c r="D23" t="str">
        <x:f>'Katalog kart'!B23</x:f>
        <x:v>Przy ataku</x:v>
      </x:c>
      <x:c r="E23" t="str">
        <x:f>'Katalog kart'!C23</x:f>
        <x:v>Leczenie</x:v>
      </x:c>
      <x:c r="F23" t="n">
        <x:f>'Katalog kart'!E23</x:f>
        <x:v>2</x:v>
      </x:c>
      <x:c r="G23" t="n">
        <x:f>'Katalog kart'!F23</x:f>
        <x:v>6</x:v>
      </x:c>
      <x:c r="H23" t="n">
        <x:f>'Balans — VP3'!H37*'Kalibracja — parametry'!$B$9+'Balans — VP3'!J37</x:f>
        <x:v>0</x:v>
      </x:c>
      <x:c r="I23" t="n">
        <x:f>'Balans — VP3'!I37*'Kalibracja — parametry'!$B$9+'Balans — VP3'!K37</x:f>
        <x:v>6</x:v>
      </x:c>
      <x:c r="J23" s="207" t="n">
        <x:v>2</x:v>
      </x:c>
      <x:c r="K23" s="207" t="n">
        <x:v>1</x:v>
      </x:c>
      <x:c r="L23" s="180" t="n">
        <x:f>IFERROR(VLOOKUP(E23,'Kalibracja — parametry'!$A$18:$G$31,2,FALSE),0)</x:f>
        <x:v>0.66</x:v>
      </x:c>
      <x:c r="M23" s="180" t="n">
        <x:f>IFERROR(VLOOKUP(E23,'Kalibracja — parametry'!$A$18:$G$31,3,FALSE),0)</x:f>
        <x:v>0.72</x:v>
      </x:c>
      <x:c r="N23" s="180" t="n">
        <x:f>IFERROR(VLOOKUP(E23,'Kalibracja — parametry'!$A$18:$G$31,4,FALSE),0)</x:f>
        <x:v>0.82</x:v>
      </x:c>
      <x:c r="O23" s="180" t="n">
        <x:f>IFERROR(VLOOKUP(D23,'Kalibracja — parametry'!$A$35:$D$39,2,FALSE),0)</x:f>
        <x:v>1.2</x:v>
      </x:c>
      <x:c r="P23" s="180" t="n">
        <x:f>M23*IF(O23&lt;=1,O23,1+(O23-1)*N23)</x:f>
        <x:v>0.8380799999999999</x:v>
      </x:c>
      <x:c r="Q23" s="205" t="n">
        <x:f>'Kalibracja — parametry'!$B$6*F23+'Kalibracja — parametry'!$B$7*G23+'Kalibracja — parametry'!$B$8*J23*L23*P23</x:f>
        <x:v>5.8062656</x:v>
      </x:c>
      <x:c r="R23" s="205" t="n">
        <x:f>'Kalibracja — parametry'!$B$6*(F23+H23)+'Kalibracja — parametry'!$B$7*(G23+I23)+'Kalibracja — parametry'!$B$8*(J23+K23)*L23*P23</x:f>
        <x:v>9.059398400000001</x:v>
      </x:c>
      <x:c r="S23" s="205" t="n">
        <x:f>Q23+R23</x:f>
        <x:v>14.865664</x:v>
      </x:c>
      <x:c r="T23" s="181" t="n">
        <x:f>IFERROR(S23/'Kalibracja — parametry'!$B$10-1,0)</x:f>
        <x:v>-0.1437520015666941</x:v>
      </x:c>
      <x:c r="U23" t="str">
        <x:f>IF(T23&gt;'Kalibracja — parametry'!$B$11,"WYSOKA",IF(T23&lt; -'Kalibracja — parametry'!$B$11,"NISKA","W PASMIE"))</x:f>
        <x:v>NISKA</x:v>
      </x:c>
      <x:c r="V23" s="91" t="str">
        <x:v>—</x:v>
      </x:c>
      <x:c r="W23" t="str"/>
      <x:c r="X23" t="str">
        <x:v>Suma obrażeń / leczenia / pancerza</x:v>
      </x:c>
      <x:c r="Y23" s="180" t="n">
        <x:f>R23/(1+'Kalibracja — parametry'!$B$12)^'Kalibracja — parametry'!$B$9</x:f>
        <x:v>5.803973102628235</x:v>
      </x:c>
      <x:c r="Z23" s="181" t="n">
        <x:f>IFERROR(Y23/Q23-1,0)</x:f>
        <x:v>-0.0003948316404549512</x:v>
      </x:c>
    </x:row>
    <x:row r="24">
      <x:c r="A24" t="str">
        <x:f>'Katalog kart'!A24</x:f>
        <x:v>S68</x:v>
      </x:c>
      <x:c r="B24" t="str">
        <x:f>'Katalog kart'!M24</x:f>
        <x:v>Dzikie bestie</x:v>
      </x:c>
      <x:c r="C24" t="str">
        <x:f>'Katalog kart'!D24</x:f>
        <x:v>Dzik Bursztynowych Kłów</x:v>
      </x:c>
      <x:c r="D24" t="str">
        <x:f>'Katalog kart'!B24</x:f>
        <x:v>Przy ataku</x:v>
      </x:c>
      <x:c r="E24" t="str">
        <x:f>'Katalog kart'!C24</x:f>
        <x:v>ATK ±</x:v>
      </x:c>
      <x:c r="F24" t="n">
        <x:f>'Katalog kart'!E24</x:f>
        <x:v>1</x:v>
      </x:c>
      <x:c r="G24" t="n">
        <x:f>'Katalog kart'!F24</x:f>
        <x:v>6</x:v>
      </x:c>
      <x:c r="H24" t="n">
        <x:f>'Balans — VP3'!H38*'Kalibracja — parametry'!$B$9+'Balans — VP3'!J38</x:f>
        <x:v>6</x:v>
      </x:c>
      <x:c r="I24" t="n">
        <x:f>'Balans — VP3'!I38*'Kalibracja — parametry'!$B$9+'Balans — VP3'!K38</x:f>
        <x:v>0</x:v>
      </x:c>
      <x:c r="J24" s="207" t="n">
        <x:v>1</x:v>
      </x:c>
      <x:c r="K24" s="207" t="n">
        <x:v>1</x:v>
      </x:c>
      <x:c r="L24" s="180" t="n">
        <x:f>IFERROR(VLOOKUP(E24,'Kalibracja — parametry'!$A$18:$G$31,2,FALSE),0)</x:f>
        <x:v>1.05</x:v>
      </x:c>
      <x:c r="M24" s="180" t="n">
        <x:f>IFERROR(VLOOKUP(E24,'Kalibracja — parametry'!$A$18:$G$31,3,FALSE),0)</x:f>
        <x:v>0.8</x:v>
      </x:c>
      <x:c r="N24" s="180" t="n">
        <x:f>IFERROR(VLOOKUP(E24,'Kalibracja — parametry'!$A$18:$G$31,4,FALSE),0)</x:f>
        <x:v>0.72</x:v>
      </x:c>
      <x:c r="O24" s="180" t="n">
        <x:f>IFERROR(VLOOKUP(D24,'Kalibracja — parametry'!$A$35:$D$39,2,FALSE),0)</x:f>
        <x:v>1.2</x:v>
      </x:c>
      <x:c r="P24" s="180" t="n">
        <x:f>M24*IF(O24&lt;=1,O24,1+(O24-1)*N24)</x:f>
        <x:v>0.9152</x:v>
      </x:c>
      <x:c r="Q24" s="205" t="n">
        <x:f>'Kalibracja — parametry'!$B$6*F24+'Kalibracja — parametry'!$B$7*G24+'Kalibracja — parametry'!$B$8*J24*L24*P24</x:f>
        <x:v>4.66096</x:v>
      </x:c>
      <x:c r="R24" s="205" t="n">
        <x:f>'Kalibracja — parametry'!$B$6*(F24+H24)+'Kalibracja — parametry'!$B$7*(G24+I24)+'Kalibracja — parametry'!$B$8*(J24+K24)*L24*P24</x:f>
        <x:v>11.62192</x:v>
      </x:c>
      <x:c r="S24" s="205" t="n">
        <x:f>Q24+R24</x:f>
        <x:v>16.28288</x:v>
      </x:c>
      <x:c r="T24" s="181" t="n">
        <x:f>IFERROR(S24/'Kalibracja — parametry'!$B$10-1,0)</x:f>
        <x:v>-0.062121718294607775</x:v>
      </x:c>
      <x:c r="U24" t="str">
        <x:f>IF(T24&gt;'Kalibracja — parametry'!$B$11,"WYSOKA",IF(T24&lt; -'Kalibracja — parametry'!$B$11,"NISKA","W PASMIE"))</x:f>
        <x:v>W PASMIE</x:v>
      </x:c>
      <x:c r="V24" s="91" t="str">
        <x:v>—</x:v>
      </x:c>
      <x:c r="W24" t="str"/>
      <x:c r="X24" t="str">
        <x:v>Punkty ATK/MAX HP przy aktywacji</x:v>
      </x:c>
      <x:c r="Y24" s="180" t="n">
        <x:f>R24/(1+'Kalibracja — parametry'!$B$12)^'Kalibracja — parametry'!$B$9</x:f>
        <x:v>7.445672229283693</x:v>
      </x:c>
      <x:c r="Z24" s="181" t="n">
        <x:f>IFERROR(Y24/Q24-1,0)</x:f>
        <x:v>0.5974546508195078</x:v>
      </x:c>
    </x:row>
    <x:row r="25">
      <x:c r="A25" t="str">
        <x:f>'Katalog kart'!A25</x:f>
        <x:v>S69</x:v>
      </x:c>
      <x:c r="B25" t="str">
        <x:f>'Katalog kart'!M25</x:f>
        <x:v>Dzikie bestie</x:v>
      </x:c>
      <x:c r="C25" t="str">
        <x:f>'Katalog kart'!D25</x:f>
        <x:v>Nosorożec Żelaznoskóry</x:v>
      </x:c>
      <x:c r="D25" t="str">
        <x:f>'Katalog kart'!B25</x:f>
        <x:v>Przy ataku</x:v>
      </x:c>
      <x:c r="E25" t="str">
        <x:f>'Katalog kart'!C25</x:f>
        <x:v>MAX HP ±</x:v>
      </x:c>
      <x:c r="F25" t="n">
        <x:f>'Katalog kart'!E25</x:f>
        <x:v>3</x:v>
      </x:c>
      <x:c r="G25" t="n">
        <x:f>'Katalog kart'!F25</x:f>
        <x:v>7</x:v>
      </x:c>
      <x:c r="H25" t="n">
        <x:f>'Balans — VP3'!H39*'Kalibracja — parametry'!$B$9+'Balans — VP3'!J39</x:f>
        <x:v>0</x:v>
      </x:c>
      <x:c r="I25" t="n">
        <x:f>'Balans — VP3'!I39*'Kalibracja — parametry'!$B$9+'Balans — VP3'!K39</x:f>
        <x:v>6</x:v>
      </x:c>
      <x:c r="J25" s="207" t="n">
        <x:v>1</x:v>
      </x:c>
      <x:c r="K25" s="207" t="n">
        <x:v>1</x:v>
      </x:c>
      <x:c r="L25" s="180" t="n">
        <x:f>IFERROR(VLOOKUP(E25,'Kalibracja — parametry'!$A$18:$G$31,2,FALSE),0)</x:f>
        <x:v>0.52</x:v>
      </x:c>
      <x:c r="M25" s="180" t="n">
        <x:f>IFERROR(VLOOKUP(E25,'Kalibracja — parametry'!$A$18:$G$31,3,FALSE),0)</x:f>
        <x:v>0.8</x:v>
      </x:c>
      <x:c r="N25" s="180" t="n">
        <x:f>IFERROR(VLOOKUP(E25,'Kalibracja — parametry'!$A$18:$G$31,4,FALSE),0)</x:f>
        <x:v>0.72</x:v>
      </x:c>
      <x:c r="O25" s="180" t="n">
        <x:f>IFERROR(VLOOKUP(D25,'Kalibracja — parametry'!$A$35:$D$39,2,FALSE),0)</x:f>
        <x:v>1.2</x:v>
      </x:c>
      <x:c r="P25" s="180" t="n">
        <x:f>M25*IF(O25&lt;=1,O25,1+(O25-1)*N25)</x:f>
        <x:v>0.9152</x:v>
      </x:c>
      <x:c r="Q25" s="205" t="n">
        <x:f>'Kalibracja — parametry'!$B$6*F25+'Kalibracja — parametry'!$B$7*G25+'Kalibracja — parametry'!$B$8*J25*L25*P25</x:f>
        <x:v>6.625904</x:v>
      </x:c>
      <x:c r="R25" s="205" t="n">
        <x:f>'Kalibracja — parametry'!$B$6*(F25+H25)+'Kalibracja — parametry'!$B$7*(G25+I25)+'Kalibracja — parametry'!$B$8*(J25+K25)*L25*P25</x:f>
        <x:v>9.801808000000001</x:v>
      </x:c>
      <x:c r="S25" s="205" t="n">
        <x:f>Q25+R25</x:f>
        <x:v>16.427712</x:v>
      </x:c>
      <x:c r="T25" s="181" t="n">
        <x:f>IFERROR(S25/'Kalibracja — parametry'!$B$10-1,0)</x:f>
        <x:v>-0.05377953390855594</x:v>
      </x:c>
      <x:c r="U25" t="str">
        <x:f>IF(T25&gt;'Kalibracja — parametry'!$B$11,"WYSOKA",IF(T25&lt; -'Kalibracja — parametry'!$B$11,"NISKA","W PASMIE"))</x:f>
        <x:v>W PASMIE</x:v>
      </x:c>
      <x:c r="V25" s="91" t="str">
        <x:v>—</x:v>
      </x:c>
      <x:c r="W25" t="str"/>
      <x:c r="X25" t="str">
        <x:v>Punkty ATK/MAX HP przy aktywacji</x:v>
      </x:c>
      <x:c r="Y25" s="180" t="n">
        <x:f>R25/(1+'Kalibracja — parametry'!$B$12)^'Kalibracja — parametry'!$B$9</x:f>
        <x:v>6.279603509779</x:v>
      </x:c>
      <x:c r="Z25" s="181" t="n">
        <x:f>IFERROR(Y25/Q25-1,0)</x:f>
        <x:v>-0.05226464045072188</x:v>
      </x:c>
    </x:row>
    <x:row r="26">
      <x:c r="A26" t="str">
        <x:f>'Katalog kart'!A26</x:f>
        <x:v>S12</x:v>
      </x:c>
      <x:c r="B26" t="str">
        <x:f>'Katalog kart'!M26</x:f>
        <x:v>Dzikie bestie</x:v>
      </x:c>
      <x:c r="C26" t="str">
        <x:f>'Katalog kart'!D26</x:f>
        <x:v>Żarłacz Pancerzy</x:v>
      </x:c>
      <x:c r="D26" t="str">
        <x:f>'Katalog kart'!B26</x:f>
        <x:v>Przy ataku</x:v>
      </x:c>
      <x:c r="E26" t="str">
        <x:f>'Katalog kart'!C26</x:f>
        <x:v>Pancerz</x:v>
      </x:c>
      <x:c r="F26" t="n">
        <x:f>'Katalog kart'!E26</x:f>
        <x:v>4</x:v>
      </x:c>
      <x:c r="G26" t="n">
        <x:f>'Katalog kart'!F26</x:f>
        <x:v>5</x:v>
      </x:c>
      <x:c r="H26" t="n">
        <x:f>'Balans — VP3'!H40*'Kalibracja — parametry'!$B$9+'Balans — VP3'!J40</x:f>
        <x:v>0</x:v>
      </x:c>
      <x:c r="I26" t="n">
        <x:f>'Balans — VP3'!I40*'Kalibracja — parametry'!$B$9+'Balans — VP3'!K40</x:f>
        <x:v>6</x:v>
      </x:c>
      <x:c r="J26" s="207" t="n">
        <x:v>2</x:v>
      </x:c>
      <x:c r="K26" s="207" t="n">
        <x:v>1</x:v>
      </x:c>
      <x:c r="L26" s="180" t="n">
        <x:f>IFERROR(VLOOKUP(E26,'Kalibracja — parametry'!$A$18:$G$31,2,FALSE),0)</x:f>
        <x:v>0.55</x:v>
      </x:c>
      <x:c r="M26" s="180" t="n">
        <x:f>IFERROR(VLOOKUP(E26,'Kalibracja — parametry'!$A$18:$G$31,3,FALSE),0)</x:f>
        <x:v>0.76</x:v>
      </x:c>
      <x:c r="N26" s="180" t="n">
        <x:f>IFERROR(VLOOKUP(E26,'Kalibracja — parametry'!$A$18:$G$31,4,FALSE),0)</x:f>
        <x:v>0.64</x:v>
      </x:c>
      <x:c r="O26" s="180" t="n">
        <x:f>IFERROR(VLOOKUP(D26,'Kalibracja — parametry'!$A$35:$D$39,2,FALSE),0)</x:f>
        <x:v>1.2</x:v>
      </x:c>
      <x:c r="P26" s="180" t="n">
        <x:f>M26*IF(O26&lt;=1,O26,1+(O26-1)*N26)</x:f>
        <x:v>0.8572799999999999</x:v>
      </x:c>
      <x:c r="Q26" s="205" t="n">
        <x:f>'Kalibracja — parametry'!$B$6*F26+'Kalibracja — parametry'!$B$7*G26+'Kalibracja — parametry'!$B$8*J26*L26*P26</x:f>
        <x:v>7.193008</x:v>
      </x:c>
      <x:c r="R26" s="205" t="n">
        <x:f>'Kalibracja — parametry'!$B$6*(F26+H26)+'Kalibracja — parametry'!$B$7*(G26+I26)+'Kalibracja — parametry'!$B$8*(J26+K26)*L26*P26</x:f>
        <x:v>10.364512</x:v>
      </x:c>
      <x:c r="S26" s="205" t="n">
        <x:f>Q26+R26</x:f>
        <x:v>17.55752</x:v>
      </x:c>
      <x:c r="T26" s="181" t="n">
        <x:f>IFERROR(S26/'Kalibracja — parametry'!$B$10-1,0)</x:f>
        <x:v>0.011296324029167915</x:v>
      </x:c>
      <x:c r="U26" t="str">
        <x:f>IF(T26&gt;'Kalibracja — parametry'!$B$11,"WYSOKA",IF(T26&lt; -'Kalibracja — parametry'!$B$11,"NISKA","W PASMIE"))</x:f>
        <x:v>W PASMIE</x:v>
      </x:c>
      <x:c r="V26" s="91" t="str">
        <x:v>—</x:v>
      </x:c>
      <x:c r="W26" t="str"/>
      <x:c r="X26" t="str">
        <x:v>Suma obrażeń / leczenia / pancerza</x:v>
      </x:c>
      <x:c r="Y26" s="180" t="n">
        <x:f>R26/(1+'Kalibracja — parametry'!$B$12)^'Kalibracja — parametry'!$B$9</x:f>
        <x:v>6.640104145311411</x:v>
      </x:c>
      <x:c r="Z26" s="181" t="n">
        <x:f>IFERROR(Y26/Q26-1,0)</x:f>
        <x:v>-0.07686684829053281</x:v>
      </x:c>
    </x:row>
    <x:row r="27">
      <x:c r="A27" t="str">
        <x:f>'Katalog kart'!A27</x:f>
        <x:v>S70</x:v>
      </x:c>
      <x:c r="B27" t="str">
        <x:f>'Katalog kart'!M27</x:f>
        <x:v>Dzikie bestie</x:v>
      </x:c>
      <x:c r="C27" t="str">
        <x:f>'Katalog kart'!D27</x:f>
        <x:v>Żółw Rogaty</x:v>
      </x:c>
      <x:c r="D27" t="str">
        <x:f>'Katalog kart'!B27</x:f>
        <x:v>Przy ataku</x:v>
      </x:c>
      <x:c r="E27" t="str">
        <x:f>'Katalog kart'!C27</x:f>
        <x:v>Tarcza</x:v>
      </x:c>
      <x:c r="F27" t="n">
        <x:f>'Katalog kart'!E27</x:f>
        <x:v>3</x:v>
      </x:c>
      <x:c r="G27" t="n">
        <x:f>'Katalog kart'!F27</x:f>
        <x:v>6</x:v>
      </x:c>
      <x:c r="H27" t="n">
        <x:f>'Balans — VP3'!H41*'Kalibracja — parametry'!$B$9+'Balans — VP3'!J41</x:f>
        <x:v>0</x:v>
      </x:c>
      <x:c r="I27" t="n">
        <x:f>'Balans — VP3'!I41*'Kalibracja — parametry'!$B$9+'Balans — VP3'!K41</x:f>
        <x:v>9</x:v>
      </x:c>
      <x:c r="J27" s="207" t="n">
        <x:v>1</x:v>
      </x:c>
      <x:c r="K27" s="207" t="n">
        <x:v>0</x:v>
      </x:c>
      <x:c r="L27" s="180" t="n">
        <x:f>IFERROR(VLOOKUP(E27,'Kalibracja — parametry'!$A$18:$G$31,2,FALSE),0)</x:f>
        <x:v>2.2</x:v>
      </x:c>
      <x:c r="M27" s="180" t="n">
        <x:f>IFERROR(VLOOKUP(E27,'Kalibracja — parametry'!$A$18:$G$31,3,FALSE),0)</x:f>
        <x:v>0.67</x:v>
      </x:c>
      <x:c r="N27" s="180" t="n">
        <x:f>IFERROR(VLOOKUP(E27,'Kalibracja — parametry'!$A$18:$G$31,4,FALSE),0)</x:f>
        <x:v>0.23</x:v>
      </x:c>
      <x:c r="O27" s="180" t="n">
        <x:f>IFERROR(VLOOKUP(D27,'Kalibracja — parametry'!$A$35:$D$39,2,FALSE),0)</x:f>
        <x:v>1.2</x:v>
      </x:c>
      <x:c r="P27" s="180" t="n">
        <x:f>M27*IF(O27&lt;=1,O27,1+(O27-1)*N27)</x:f>
        <x:v>0.7008200000000001</x:v>
      </x:c>
      <x:c r="Q27" s="205" t="n">
        <x:f>'Kalibracja — parametry'!$B$6*F27+'Kalibracja — parametry'!$B$7*G27+'Kalibracja — parametry'!$B$8*J27*L27*P27</x:f>
        <x:v>7.241804</x:v>
      </x:c>
      <x:c r="R27" s="205" t="n">
        <x:f>'Kalibracja — parametry'!$B$6*(F27+H27)+'Kalibracja — parametry'!$B$7*(G27+I27)+'Kalibracja — parametry'!$B$8*(J27+K27)*L27*P27</x:f>
        <x:v>11.291804</x:v>
      </x:c>
      <x:c r="S27" s="205" t="n">
        <x:f>Q27+R27</x:f>
        <x:v>18.533608</x:v>
      </x:c>
      <x:c r="T27" s="181" t="n">
        <x:f>IFERROR(S27/'Kalibracja — parametry'!$B$10-1,0)</x:f>
        <x:v>0.06751805729952642</x:v>
      </x:c>
      <x:c r="U27" t="str">
        <x:f>IF(T27&gt;'Kalibracja — parametry'!$B$11,"WYSOKA",IF(T27&lt; -'Kalibracja — parametry'!$B$11,"NISKA","W PASMIE"))</x:f>
        <x:v>W PASMIE</x:v>
      </x:c>
      <x:c r="V27" s="91" t="str">
        <x:v>UWAGA: tarcza</x:v>
      </x:c>
      <x:c r="W27" t="str">
        <x:v>Tarcza podczas ataku może neutralizować kontratak.</x:v>
      </x:c>
      <x:c r="X27" t="str">
        <x:v>Jeden status lub możliwość</x:v>
      </x:c>
      <x:c r="Y27" s="180" t="n">
        <x:f>R27/(1+'Kalibracja — parametry'!$B$12)^'Kalibracja — parametry'!$B$9</x:f>
        <x:v>7.234180880724918</x:v>
      </x:c>
      <x:c r="Z27" s="181" t="n">
        <x:f>IFERROR(Y27/Q27-1,0)</x:f>
        <x:v>-0.001052654735626879</x:v>
      </x:c>
    </x:row>
    <x:row r="28">
      <x:c r="A28" t="str">
        <x:f>'Katalog kart'!A28</x:f>
        <x:v>S11</x:v>
      </x:c>
      <x:c r="B28" t="str">
        <x:f>'Katalog kart'!M28</x:f>
        <x:v>Dzikie bestie</x:v>
      </x:c>
      <x:c r="C28" t="str">
        <x:f>'Katalog kart'!D28</x:f>
        <x:v>Jadowita Żmija</x:v>
      </x:c>
      <x:c r="D28" t="str">
        <x:f>'Katalog kart'!B28</x:f>
        <x:v>Przy ataku</x:v>
      </x:c>
      <x:c r="E28" t="str">
        <x:f>'Katalog kart'!C28</x:f>
        <x:v>Trucizna</x:v>
      </x:c>
      <x:c r="F28" t="n">
        <x:f>'Katalog kart'!E28</x:f>
        <x:v>1</x:v>
      </x:c>
      <x:c r="G28" t="n">
        <x:f>'Katalog kart'!F28</x:f>
        <x:v>5</x:v>
      </x:c>
      <x:c r="H28" t="n">
        <x:f>'Balans — VP3'!H42*'Kalibracja — parametry'!$B$9+'Balans — VP3'!J42</x:f>
        <x:v>6</x:v>
      </x:c>
      <x:c r="I28" t="n">
        <x:f>'Balans — VP3'!I42*'Kalibracja — parametry'!$B$9+'Balans — VP3'!K42</x:f>
        <x:v>0</x:v>
      </x:c>
      <x:c r="J28" s="207" t="n">
        <x:v>2</x:v>
      </x:c>
      <x:c r="K28" s="207" t="n">
        <x:v>1</x:v>
      </x:c>
      <x:c r="L28" s="180" t="n">
        <x:f>IFERROR(VLOOKUP(E28,'Kalibracja — parametry'!$A$18:$G$31,2,FALSE),0)</x:f>
        <x:v>0.78</x:v>
      </x:c>
      <x:c r="M28" s="180" t="n">
        <x:f>IFERROR(VLOOKUP(E28,'Kalibracja — parametry'!$A$18:$G$31,3,FALSE),0)</x:f>
        <x:v>0.72</x:v>
      </x:c>
      <x:c r="N28" s="180" t="n">
        <x:f>IFERROR(VLOOKUP(E28,'Kalibracja — parametry'!$A$18:$G$31,4,FALSE),0)</x:f>
        <x:v>0.55</x:v>
      </x:c>
      <x:c r="O28" s="180" t="n">
        <x:f>IFERROR(VLOOKUP(D28,'Kalibracja — parametry'!$A$35:$D$39,2,FALSE),0)</x:f>
        <x:v>1.2</x:v>
      </x:c>
      <x:c r="P28" s="180" t="n">
        <x:f>M28*IF(O28&lt;=1,O28,1+(O28-1)*N28)</x:f>
        <x:v>0.7991999999999999</x:v>
      </x:c>
      <x:c r="Q28" s="205" t="n">
        <x:f>'Kalibracja — parametry'!$B$6*F28+'Kalibracja — parametry'!$B$7*G28+'Kalibracja — parametry'!$B$8*J28*L28*P28</x:f>
        <x:v>4.496752</x:v>
      </x:c>
      <x:c r="R28" s="205" t="n">
        <x:f>'Kalibracja — parametry'!$B$6*(F28+H28)+'Kalibracja — parametry'!$B$7*(G28+I28)+'Kalibracja — parametry'!$B$8*(J28+K28)*L28*P28</x:f>
        <x:v>11.120128</x:v>
      </x:c>
      <x:c r="S28" s="205" t="n">
        <x:f>Q28+R28</x:f>
        <x:v>15.616879999999998</x:v>
      </x:c>
      <x:c r="T28" s="181" t="n">
        <x:f>IFERROR(S28/'Kalibracja — parametry'!$B$10-1,0)</x:f>
        <x:v>-0.10048267996820559</x:v>
      </x:c>
      <x:c r="U28" t="str">
        <x:f>IF(T28&gt;'Kalibracja — parametry'!$B$11,"WYSOKA",IF(T28&lt; -'Kalibracja — parametry'!$B$11,"NISKA","W PASMIE"))</x:f>
        <x:v>W PASMIE</x:v>
      </x:c>
      <x:c r="V28" s="91" t="str">
        <x:v>—</x:v>
      </x:c>
      <x:c r="W28" t="str"/>
      <x:c r="X28" t="str">
        <x:v>Suma obrażeń / leczenia / pancerza</x:v>
      </x:c>
      <x:c r="Y28" s="180" t="n">
        <x:f>R28/(1+'Kalibracja — parametry'!$B$12)^'Kalibracja — parametry'!$B$9</x:f>
        <x:v>7.1241953339620325</x:v>
      </x:c>
      <x:c r="Z28" s="181" t="n">
        <x:f>IFERROR(Y28/Q28-1,0)</x:f>
        <x:v>0.5842980297694942</x:v>
      </x:c>
    </x:row>
    <x:row r="29">
      <x:c r="A29" t="str">
        <x:f>'Katalog kart'!A29</x:f>
        <x:v>S15</x:v>
      </x:c>
      <x:c r="B29" t="str">
        <x:f>'Katalog kart'!M29</x:f>
        <x:v>Dzikie bestie</x:v>
      </x:c>
      <x:c r="C29" t="str">
        <x:f>'Katalog kart'!D29</x:f>
        <x:v>Niedźwiedź Grzmotu</x:v>
      </x:c>
      <x:c r="D29" t="str">
        <x:f>'Katalog kart'!B29</x:f>
        <x:v>Przy ataku</x:v>
      </x:c>
      <x:c r="E29" t="str">
        <x:f>'Katalog kart'!C29</x:f>
        <x:v>Ogłuszenie</x:v>
      </x:c>
      <x:c r="F29" t="n">
        <x:f>'Katalog kart'!E29</x:f>
        <x:v>1</x:v>
      </x:c>
      <x:c r="G29" t="n">
        <x:f>'Katalog kart'!F29</x:f>
        <x:v>6</x:v>
      </x:c>
      <x:c r="H29" t="n">
        <x:f>'Balans — VP3'!H43*'Kalibracja — parametry'!$B$9+'Balans — VP3'!J43</x:f>
        <x:v>3</x:v>
      </x:c>
      <x:c r="I29" t="n">
        <x:f>'Balans — VP3'!I43*'Kalibracja — parametry'!$B$9+'Balans — VP3'!K43</x:f>
        <x:v>3</x:v>
      </x:c>
      <x:c r="J29" s="207" t="n">
        <x:v>1</x:v>
      </x:c>
      <x:c r="K29" s="207" t="n">
        <x:v>0</x:v>
      </x:c>
      <x:c r="L29" s="180" t="n">
        <x:f>IFERROR(VLOOKUP(E29,'Kalibracja — parametry'!$A$18:$G$31,2,FALSE),0)</x:f>
        <x:v>2.35</x:v>
      </x:c>
      <x:c r="M29" s="180" t="n">
        <x:f>IFERROR(VLOOKUP(E29,'Kalibracja — parametry'!$A$18:$G$31,3,FALSE),0)</x:f>
        <x:v>0.74</x:v>
      </x:c>
      <x:c r="N29" s="180" t="n">
        <x:f>IFERROR(VLOOKUP(E29,'Kalibracja — parametry'!$A$18:$G$31,4,FALSE),0)</x:f>
        <x:v>0.6</x:v>
      </x:c>
      <x:c r="O29" s="180" t="n">
        <x:f>IFERROR(VLOOKUP(D29,'Kalibracja — parametry'!$A$35:$D$39,2,FALSE),0)</x:f>
        <x:v>1.2</x:v>
      </x:c>
      <x:c r="P29" s="180" t="n">
        <x:f>M29*IF(O29&lt;=1,O29,1+(O29-1)*N29)</x:f>
        <x:v>0.8287999999999999</x:v>
      </x:c>
      <x:c r="Q29" s="205" t="n">
        <x:f>'Kalibracja — parametry'!$B$6*F29+'Kalibracja — parametry'!$B$7*G29+'Kalibracja — parametry'!$B$8*J29*L29*P29</x:f>
        <x:v>5.64768</x:v>
      </x:c>
      <x:c r="R29" s="205" t="n">
        <x:f>'Kalibracja — parametry'!$B$6*(F29+H29)+'Kalibracja — parametry'!$B$7*(G29+I29)+'Kalibracja — parametry'!$B$8*(J29+K29)*L29*P29</x:f>
        <x:v>9.99768</x:v>
      </x:c>
      <x:c r="S29" s="205" t="n">
        <x:f>Q29+R29</x:f>
        <x:v>15.64536</x:v>
      </x:c>
      <x:c r="T29" s="181" t="n">
        <x:f>IFERROR(S29/'Kalibracja — parametry'!$B$10-1,0)</x:f>
        <x:v>-0.09884225926480594</x:v>
      </x:c>
      <x:c r="U29" t="str">
        <x:f>IF(T29&gt;'Kalibracja — parametry'!$B$11,"WYSOKA",IF(T29&lt; -'Kalibracja — parametry'!$B$11,"NISKA","W PASMIE"))</x:f>
        <x:v>W PASMIE</x:v>
      </x:c>
      <x:c r="V29" s="91" t="str">
        <x:v>UWAGA: kontrola</x:v>
      </x:c>
      <x:c r="W29" t="str">
        <x:v>Ogłuszenie przed walką może anulować kontratak lub zdolności. | ULEPSZENIE PO 3T DO ZDEFINIOWANIA</x:v>
      </x:c>
      <x:c r="X29" t="str">
        <x:v>Jeden status lub możliwość</x:v>
      </x:c>
      <x:c r="Y29" s="180" t="n">
        <x:f>R29/(1+'Kalibracja — parametry'!$B$12)^'Kalibracja — parametry'!$B$9</x:f>
        <x:v>6.405090409610891</x:v>
      </x:c>
      <x:c r="Z29" s="181" t="n">
        <x:f>IFERROR(Y29/Q29-1,0)</x:f>
        <x:v>0.1341100079343891</x:v>
      </x:c>
    </x:row>
    <x:row r="30">
      <x:c r="A30" t="str">
        <x:f>'Katalog kart'!A30</x:f>
        <x:v>S71</x:v>
      </x:c>
      <x:c r="B30" t="str">
        <x:f>'Katalog kart'!M30</x:f>
        <x:v>Dzikie bestie</x:v>
      </x:c>
      <x:c r="C30" t="str">
        <x:f>'Katalog kart'!D30</x:f>
        <x:v>Salamandra Odnowy</x:v>
      </x:c>
      <x:c r="D30" t="str">
        <x:f>'Katalog kart'!B30</x:f>
        <x:v>Przy ataku</x:v>
      </x:c>
      <x:c r="E30" t="str">
        <x:f>'Katalog kart'!C30</x:f>
        <x:v>Regeneracja</x:v>
      </x:c>
      <x:c r="F30" t="n">
        <x:f>'Katalog kart'!E30</x:f>
        <x:v>2</x:v>
      </x:c>
      <x:c r="G30" t="n">
        <x:f>'Katalog kart'!F30</x:f>
        <x:v>6</x:v>
      </x:c>
      <x:c r="H30" t="n">
        <x:f>'Balans — VP3'!H44*'Kalibracja — parametry'!$B$9+'Balans — VP3'!J44</x:f>
        <x:v>0</x:v>
      </x:c>
      <x:c r="I30" t="n">
        <x:f>'Balans — VP3'!I44*'Kalibracja — parametry'!$B$9+'Balans — VP3'!K44</x:f>
        <x:v>6</x:v>
      </x:c>
      <x:c r="J30" s="207" t="n">
        <x:v>2</x:v>
      </x:c>
      <x:c r="K30" s="207" t="n">
        <x:v>1</x:v>
      </x:c>
      <x:c r="L30" s="180" t="n">
        <x:f>IFERROR(VLOOKUP(E30,'Kalibracja — parametry'!$A$18:$G$31,2,FALSE),0)</x:f>
        <x:v>0.41</x:v>
      </x:c>
      <x:c r="M30" s="180" t="n">
        <x:f>IFERROR(VLOOKUP(E30,'Kalibracja — parametry'!$A$18:$G$31,3,FALSE),0)</x:f>
        <x:v>0.66</x:v>
      </x:c>
      <x:c r="N30" s="180" t="n">
        <x:f>IFERROR(VLOOKUP(E30,'Kalibracja — parametry'!$A$18:$G$31,4,FALSE),0)</x:f>
        <x:v>0.51</x:v>
      </x:c>
      <x:c r="O30" s="180" t="n">
        <x:f>IFERROR(VLOOKUP(D30,'Kalibracja — parametry'!$A$35:$D$39,2,FALSE),0)</x:f>
        <x:v>1.2</x:v>
      </x:c>
      <x:c r="P30" s="180" t="n">
        <x:f>M30*IF(O30&lt;=1,O30,1+(O30-1)*N30)</x:f>
        <x:v>0.72732</x:v>
      </x:c>
      <x:c r="Q30" s="205" t="n">
        <x:f>'Kalibracja — parametry'!$B$6*F30+'Kalibracja — parametry'!$B$7*G30+'Kalibracja — parametry'!$B$8*J30*L30*P30</x:f>
        <x:v>5.2964024</x:v>
      </x:c>
      <x:c r="R30" s="205" t="n">
        <x:f>'Kalibracja — parametry'!$B$6*(F30+H30)+'Kalibracja — parametry'!$B$7*(G30+I30)+'Kalibracja — parametry'!$B$8*(J30+K30)*L30*P30</x:f>
        <x:v>8.2946036</x:v>
      </x:c>
      <x:c r="S30" s="205" t="n">
        <x:f>Q30+R30</x:f>
        <x:v>13.591006</x:v>
      </x:c>
      <x:c r="T30" s="181" t="n">
        <x:f>IFERROR(S30/'Kalibracja — parametry'!$B$10-1,0)</x:f>
        <x:v>-0.21717108067321778</x:v>
      </x:c>
      <x:c r="U30" t="str">
        <x:f>IF(T30&gt;'Kalibracja — parametry'!$B$11,"WYSOKA",IF(T30&lt; -'Kalibracja — parametry'!$B$11,"NISKA","W PASMIE"))</x:f>
        <x:v>NISKA</x:v>
      </x:c>
      <x:c r="V30" s="91" t="str">
        <x:v>—</x:v>
      </x:c>
      <x:c r="W30" t="str"/>
      <x:c r="X30" t="str">
        <x:v>Suma obrażeń / leczenia / pancerza</x:v>
      </x:c>
      <x:c r="Y30" s="180" t="n">
        <x:f>R30/(1+'Kalibracja — parametry'!$B$12)^'Kalibracja — parametry'!$B$9</x:f>
        <x:v>5.314001445323712</x:v>
      </x:c>
      <x:c r="Z30" s="181" t="n">
        <x:f>IFERROR(Y30/Q30-1,0)</x:f>
        <x:v>0.0033228301013745742</x:v>
      </x:c>
    </x:row>
    <x:row r="31">
      <x:c r="A31" t="str">
        <x:f>'Katalog kart'!A31</x:f>
        <x:v>S72</x:v>
      </x:c>
      <x:c r="B31" t="str">
        <x:f>'Katalog kart'!M31</x:f>
        <x:v>Dzikie bestie</x:v>
      </x:c>
      <x:c r="C31" t="str">
        <x:f>'Katalog kart'!D31</x:f>
        <x:v>Bawół Strażnik</x:v>
      </x:c>
      <x:c r="D31" t="str">
        <x:f>'Katalog kart'!B31</x:f>
        <x:v>Przy ataku</x:v>
      </x:c>
      <x:c r="E31" t="str">
        <x:f>'Katalog kart'!C31</x:f>
        <x:v>Prowokacja</x:v>
      </x:c>
      <x:c r="F31" t="n">
        <x:f>'Katalog kart'!E31</x:f>
        <x:v>2</x:v>
      </x:c>
      <x:c r="G31" t="n">
        <x:f>'Katalog kart'!F31</x:f>
        <x:v>8</x:v>
      </x:c>
      <x:c r="H31" t="n">
        <x:f>'Balans — VP3'!H45*'Kalibracja — parametry'!$B$9+'Balans — VP3'!J45</x:f>
        <x:v>0</x:v>
      </x:c>
      <x:c r="I31" t="n">
        <x:f>'Balans — VP3'!I45*'Kalibracja — parametry'!$B$9+'Balans — VP3'!K45</x:f>
        <x:v>9</x:v>
      </x:c>
      <x:c r="J31" s="207" t="n">
        <x:v>1</x:v>
      </x:c>
      <x:c r="K31" s="207" t="n">
        <x:v>0</x:v>
      </x:c>
      <x:c r="L31" s="180" t="n">
        <x:f>IFERROR(VLOOKUP(E31,'Kalibracja — parametry'!$A$18:$G$31,2,FALSE),0)</x:f>
        <x:v>1.4</x:v>
      </x:c>
      <x:c r="M31" s="180" t="n">
        <x:f>IFERROR(VLOOKUP(E31,'Kalibracja — parametry'!$A$18:$G$31,3,FALSE),0)</x:f>
        <x:v>0.68</x:v>
      </x:c>
      <x:c r="N31" s="180" t="n">
        <x:f>IFERROR(VLOOKUP(E31,'Kalibracja — parametry'!$A$18:$G$31,4,FALSE),0)</x:f>
        <x:v>0.38</x:v>
      </x:c>
      <x:c r="O31" s="180" t="n">
        <x:f>IFERROR(VLOOKUP(D31,'Kalibracja — parametry'!$A$35:$D$39,2,FALSE),0)</x:f>
        <x:v>1.2</x:v>
      </x:c>
      <x:c r="P31" s="180" t="n">
        <x:f>M31*IF(O31&lt;=1,O31,1+(O31-1)*N31)</x:f>
        <x:v>0.7316800000000001</x:v>
      </x:c>
      <x:c r="Q31" s="205" t="n">
        <x:f>'Kalibracja — parametry'!$B$6*F31+'Kalibracja — parametry'!$B$7*G31+'Kalibracja — parametry'!$B$8*J31*L31*P31</x:f>
        <x:v>6.624352</x:v>
      </x:c>
      <x:c r="R31" s="205" t="n">
        <x:f>'Kalibracja — parametry'!$B$6*(F31+H31)+'Kalibracja — parametry'!$B$7*(G31+I31)+'Kalibracja — parametry'!$B$8*(J31+K31)*L31*P31</x:f>
        <x:v>10.674352</x:v>
      </x:c>
      <x:c r="S31" s="205" t="n">
        <x:f>Q31+R31</x:f>
        <x:v>17.298704</x:v>
      </x:c>
      <x:c r="T31" s="181" t="n">
        <x:f>IFERROR(S31/'Kalibracja — parametry'!$B$10-1,0)</x:f>
        <x:v>-0.0036112295091411672</x:v>
      </x:c>
      <x:c r="U31" t="str">
        <x:f>IF(T31&gt;'Kalibracja — parametry'!$B$11,"WYSOKA",IF(T31&lt; -'Kalibracja — parametry'!$B$11,"NISKA","W PASMIE"))</x:f>
        <x:v>W PASMIE</x:v>
      </x:c>
      <x:c r="V31" s="91" t="str">
        <x:v>—</x:v>
      </x:c>
      <x:c r="W31" t="str">
        <x:v>Premia co 3T jest w statystykach, nie w liczbie ładunków/ataków.</x:v>
      </x:c>
      <x:c r="X31" t="str">
        <x:v>Jeden status lub możliwość</x:v>
      </x:c>
      <x:c r="Y31" s="180" t="n">
        <x:f>R31/(1+'Kalibracja — parametry'!$B$12)^'Kalibracja — parametry'!$B$9</x:f>
        <x:v>6.838605518881464</x:v>
      </x:c>
      <x:c r="Z31" s="181" t="n">
        <x:f>IFERROR(Y31/Q31-1,0)</x:f>
        <x:v>0.03234331733601481</x:v>
      </x:c>
    </x:row>
    <x:row r="32">
      <x:c r="A32" t="str">
        <x:f>'Katalog kart'!A32</x:f>
        <x:v>S74</x:v>
      </x:c>
      <x:c r="B32" t="str">
        <x:f>'Katalog kart'!M32</x:f>
        <x:v>Dzikie bestie</x:v>
      </x:c>
      <x:c r="C32" t="str">
        <x:f>'Katalog kart'!D32</x:f>
        <x:v>Lis Oczyszczający</x:v>
      </x:c>
      <x:c r="D32" t="str">
        <x:f>'Katalog kart'!B32</x:f>
        <x:v>Przy ataku</x:v>
      </x:c>
      <x:c r="E32" t="str">
        <x:f>'Katalog kart'!C32</x:f>
        <x:v>Oczyszczanie</x:v>
      </x:c>
      <x:c r="F32" t="n">
        <x:f>'Katalog kart'!E32</x:f>
        <x:v>1</x:v>
      </x:c>
      <x:c r="G32" t="n">
        <x:f>'Katalog kart'!F32</x:f>
        <x:v>6</x:v>
      </x:c>
      <x:c r="H32" t="n">
        <x:f>'Balans — VP3'!H46*'Kalibracja — parametry'!$B$9+'Balans — VP3'!J46</x:f>
        <x:v>3</x:v>
      </x:c>
      <x:c r="I32" t="n">
        <x:f>'Balans — VP3'!I46*'Kalibracja — parametry'!$B$9+'Balans — VP3'!K46</x:f>
        <x:v>3</x:v>
      </x:c>
      <x:c r="J32" s="207" t="n">
        <x:v>1</x:v>
      </x:c>
      <x:c r="K32" s="207" t="n">
        <x:v>0</x:v>
      </x:c>
      <x:c r="L32" s="180" t="n">
        <x:f>IFERROR(VLOOKUP(E32,'Kalibracja — parametry'!$A$18:$G$31,2,FALSE),0)</x:f>
        <x:v>1.55</x:v>
      </x:c>
      <x:c r="M32" s="180" t="n">
        <x:f>IFERROR(VLOOKUP(E32,'Kalibracja — parametry'!$A$18:$G$31,3,FALSE),0)</x:f>
        <x:v>0.45</x:v>
      </x:c>
      <x:c r="N32" s="180" t="n">
        <x:f>IFERROR(VLOOKUP(E32,'Kalibracja — parametry'!$A$18:$G$31,4,FALSE),0)</x:f>
        <x:v>0.45</x:v>
      </x:c>
      <x:c r="O32" s="180" t="n">
        <x:f>IFERROR(VLOOKUP(D32,'Kalibracja — parametry'!$A$35:$D$39,2,FALSE),0)</x:f>
        <x:v>1.2</x:v>
      </x:c>
      <x:c r="P32" s="180" t="n">
        <x:f>M32*IF(O32&lt;=1,O32,1+(O32-1)*N32)</x:f>
        <x:v>0.49050000000000005</x:v>
      </x:c>
      <x:c r="Q32" s="205" t="n">
        <x:f>'Kalibracja — parametry'!$B$6*F32+'Kalibracja — parametry'!$B$7*G32+'Kalibracja — parametry'!$B$8*J32*L32*P32</x:f>
        <x:v>4.460275</x:v>
      </x:c>
      <x:c r="R32" s="205" t="n">
        <x:f>'Kalibracja — parametry'!$B$6*(F32+H32)+'Kalibracja — parametry'!$B$7*(G32+I32)+'Kalibracja — parametry'!$B$8*(J32+K32)*L32*P32</x:f>
        <x:v>8.810275</x:v>
      </x:c>
      <x:c r="S32" s="205" t="n">
        <x:f>Q32+R32</x:f>
        <x:v>13.27055</x:v>
      </x:c>
      <x:c r="T32" s="181" t="n">
        <x:f>IFERROR(S32/'Kalibracja — parametry'!$B$10-1,0)</x:f>
        <x:v>-0.235629039132789</x:v>
      </x:c>
      <x:c r="U32" t="str">
        <x:f>IF(T32&gt;'Kalibracja — parametry'!$B$11,"WYSOKA",IF(T32&lt; -'Kalibracja — parametry'!$B$11,"NISKA","W PASMIE"))</x:f>
        <x:v>NISKA</x:v>
      </x:c>
      <x:c r="V32" s="91" t="str">
        <x:v>—</x:v>
      </x:c>
      <x:c r="W32" t="str">
        <x:v>ULEPSZENIE PO 3T DO ZDEFINIOWANIA</x:v>
      </x:c>
      <x:c r="X32" t="str">
        <x:v>Jeden status lub możliwość</x:v>
      </x:c>
      <x:c r="Y32" s="180" t="n">
        <x:f>R32/(1+'Kalibracja — parametry'!$B$12)^'Kalibracja — parametry'!$B$9</x:f>
        <x:v>5.644370284759524</x:v>
      </x:c>
      <x:c r="Z32" s="181" t="n">
        <x:f>IFERROR(Y32/Q32-1,0)</x:f>
        <x:v>0.2654758472873362</x:v>
      </x:c>
    </x:row>
    <x:row r="33">
      <x:c r="A33" t="str">
        <x:f>'Katalog kart'!A33</x:f>
        <x:v>S76</x:v>
      </x:c>
      <x:c r="B33" t="str">
        <x:f>'Katalog kart'!M33</x:f>
        <x:v>Dzikie bestie</x:v>
      </x:c>
      <x:c r="C33" t="str">
        <x:f>'Katalog kart'!D33</x:f>
        <x:v>Miodożer Nieugięty</x:v>
      </x:c>
      <x:c r="D33" t="str">
        <x:f>'Katalog kart'!B33</x:f>
        <x:v>Przy ataku</x:v>
      </x:c>
      <x:c r="E33" t="str">
        <x:f>'Katalog kart'!C33</x:f>
        <x:v>Odporność</x:v>
      </x:c>
      <x:c r="F33" t="n">
        <x:f>'Katalog kart'!E33</x:f>
        <x:v>4</x:v>
      </x:c>
      <x:c r="G33" t="n">
        <x:f>'Katalog kart'!F33</x:f>
        <x:v>6</x:v>
      </x:c>
      <x:c r="H33" t="n">
        <x:f>'Balans — VP3'!H47*'Kalibracja — parametry'!$B$9+'Balans — VP3'!J47</x:f>
        <x:v>0</x:v>
      </x:c>
      <x:c r="I33" t="n">
        <x:f>'Balans — VP3'!I47*'Kalibracja — parametry'!$B$9+'Balans — VP3'!K47</x:f>
        <x:v>6</x:v>
      </x:c>
      <x:c r="J33" s="207" t="n">
        <x:v>1</x:v>
      </x:c>
      <x:c r="K33" s="207" t="n">
        <x:v>0</x:v>
      </x:c>
      <x:c r="L33" s="180" t="n">
        <x:f>IFERROR(VLOOKUP(E33,'Kalibracja — parametry'!$A$18:$G$31,2,FALSE),0)</x:f>
        <x:v>1.2</x:v>
      </x:c>
      <x:c r="M33" s="180" t="n">
        <x:f>IFERROR(VLOOKUP(E33,'Kalibracja — parametry'!$A$18:$G$31,3,FALSE),0)</x:f>
        <x:v>0.55</x:v>
      </x:c>
      <x:c r="N33" s="180" t="n">
        <x:f>IFERROR(VLOOKUP(E33,'Kalibracja — parametry'!$A$18:$G$31,4,FALSE),0)</x:f>
        <x:v>0.38</x:v>
      </x:c>
      <x:c r="O33" s="180" t="n">
        <x:f>IFERROR(VLOOKUP(D33,'Kalibracja — parametry'!$A$35:$D$39,2,FALSE),0)</x:f>
        <x:v>1.2</x:v>
      </x:c>
      <x:c r="P33" s="180" t="n">
        <x:f>M33*IF(O33&lt;=1,O33,1+(O33-1)*N33)</x:f>
        <x:v>0.5918000000000001</x:v>
      </x:c>
      <x:c r="Q33" s="205" t="n">
        <x:f>'Kalibracja — parametry'!$B$6*F33+'Kalibracja — parametry'!$B$7*G33+'Kalibracja — parametry'!$B$8*J33*L33*P33</x:f>
        <x:v>7.41016</x:v>
      </x:c>
      <x:c r="R33" s="205" t="n">
        <x:f>'Kalibracja — parametry'!$B$6*(F33+H33)+'Kalibracja — parametry'!$B$7*(G33+I33)+'Kalibracja — parametry'!$B$8*(J33+K33)*L33*P33</x:f>
        <x:v>10.11016</x:v>
      </x:c>
      <x:c r="S33" s="205" t="n">
        <x:f>Q33+R33</x:f>
        <x:v>17.52032</x:v>
      </x:c>
      <x:c r="T33" s="181" t="n">
        <x:f>IFERROR(S33/'Kalibracja — parametry'!$B$10-1,0)</x:f>
        <x:v>0.009153639683435522</x:v>
      </x:c>
      <x:c r="U33" t="str">
        <x:f>IF(T33&gt;'Kalibracja — parametry'!$B$11,"WYSOKA",IF(T33&lt; -'Kalibracja — parametry'!$B$11,"NISKA","W PASMIE"))</x:f>
        <x:v>W PASMIE</x:v>
      </x:c>
      <x:c r="V33" s="91" t="str">
        <x:v>—</x:v>
      </x:c>
      <x:c r="W33" t="str">
        <x:v>ULEPSZENIE PO 3T DO ZDEFINIOWANIA</x:v>
      </x:c>
      <x:c r="X33" t="str">
        <x:v>Jeden status lub możliwość</x:v>
      </x:c>
      <x:c r="Y33" s="180" t="n">
        <x:f>R33/(1+'Kalibracja — parametry'!$B$12)^'Kalibracja — parametry'!$B$9</x:f>
        <x:v>6.477151584730822</x:v>
      </x:c>
      <x:c r="Z33" s="181" t="n">
        <x:f>IFERROR(Y33/Q33-1,0)</x:f>
        <x:v>-0.12590934814756738</x:v>
      </x:c>
    </x:row>
    <x:row r="34">
      <x:c r="A34" t="str">
        <x:f>'Katalog kart'!A34</x:f>
        <x:v>S78</x:v>
      </x:c>
      <x:c r="B34" t="str">
        <x:f>'Katalog kart'!M34</x:f>
        <x:v>Dzikie bestie</x:v>
      </x:c>
      <x:c r="C34" t="str">
        <x:f>'Katalog kart'!D34</x:f>
        <x:v>Gepard Burzowy</x:v>
      </x:c>
      <x:c r="D34" t="str">
        <x:f>'Katalog kart'!B34</x:f>
        <x:v>Przy ataku</x:v>
      </x:c>
      <x:c r="E34" t="str">
        <x:f>'Katalog kart'!C34</x:f>
        <x:v>Szybki atak</x:v>
      </x:c>
      <x:c r="F34" t="n">
        <x:f>'Katalog kart'!E34</x:f>
        <x:v>2</x:v>
      </x:c>
      <x:c r="G34" t="n">
        <x:f>'Katalog kart'!F34</x:f>
        <x:v>4</x:v>
      </x:c>
      <x:c r="H34" t="n">
        <x:f>'Balans — VP3'!H48*'Kalibracja — parametry'!$B$9+'Balans — VP3'!J48</x:f>
        <x:v>8</x:v>
      </x:c>
      <x:c r="I34" t="n">
        <x:f>'Balans — VP3'!I48*'Kalibracja — parametry'!$B$9+'Balans — VP3'!K48</x:f>
        <x:v>1</x:v>
      </x:c>
      <x:c r="J34" s="207" t="n">
        <x:v>1</x:v>
      </x:c>
      <x:c r="K34" s="207" t="n">
        <x:v>0</x:v>
      </x:c>
      <x:c r="L34" s="180" t="n">
        <x:f>IFERROR(VLOOKUP(E34,'Kalibracja — parametry'!$A$18:$G$31,2,FALSE),0)</x:f>
        <x:v>1.8</x:v>
      </x:c>
      <x:c r="M34" s="180" t="n">
        <x:f>IFERROR(VLOOKUP(E34,'Kalibracja — parametry'!$A$18:$G$31,3,FALSE),0)</x:f>
        <x:v>0.58</x:v>
      </x:c>
      <x:c r="N34" s="180" t="n">
        <x:f>IFERROR(VLOOKUP(E34,'Kalibracja — parametry'!$A$18:$G$31,4,FALSE),0)</x:f>
        <x:v>0.37</x:v>
      </x:c>
      <x:c r="O34" s="180" t="n">
        <x:f>IFERROR(VLOOKUP(D34,'Kalibracja — parametry'!$A$35:$D$39,2,FALSE),0)</x:f>
        <x:v>1.2</x:v>
      </x:c>
      <x:c r="P34" s="180" t="n">
        <x:f>M34*IF(O34&lt;=1,O34,1+(O34-1)*N34)</x:f>
        <x:v>0.62292</x:v>
      </x:c>
      <x:c r="Q34" s="205" t="n">
        <x:f>'Kalibracja — parametry'!$B$6*F34+'Kalibracja — parametry'!$B$7*G34+'Kalibracja — parametry'!$B$8*J34*L34*P34</x:f>
        <x:v>4.921256</x:v>
      </x:c>
      <x:c r="R34" s="205" t="n">
        <x:f>'Kalibracja — parametry'!$B$6*(F34+H34)+'Kalibracja — parametry'!$B$7*(G34+I34)+'Kalibracja — parametry'!$B$8*(J34+K34)*L34*P34</x:f>
        <x:v>13.371256</x:v>
      </x:c>
      <x:c r="S34" s="205" t="n">
        <x:f>Q34+R34</x:f>
        <x:v>18.292512000000002</x:v>
      </x:c>
      <x:c r="T34" s="181" t="n">
        <x:f>IFERROR(S34/'Kalibracja — parametry'!$B$10-1,0)</x:f>
        <x:v>0.053631158777517784</x:v>
      </x:c>
      <x:c r="U34" t="str">
        <x:f>IF(T34&gt;'Kalibracja — parametry'!$B$11,"WYSOKA",IF(T34&lt; -'Kalibracja — parametry'!$B$11,"NISKA","W PASMIE"))</x:f>
        <x:v>W PASMIE</x:v>
      </x:c>
      <x:c r="V34" s="91" t="str">
        <x:v>—</x:v>
      </x:c>
      <x:c r="W34" t="str">
        <x:v>Premia co 3T jest w statystykach, nie w liczbie ładunków/ataków.</x:v>
      </x:c>
      <x:c r="X34" t="str">
        <x:v>Jeden status lub możliwość</x:v>
      </x:c>
      <x:c r="Y34" s="180" t="n">
        <x:f>R34/(1+'Kalibracja — parametry'!$B$12)^'Kalibracja — parametry'!$B$9</x:f>
        <x:v>8.566397761285828</x:v>
      </x:c>
      <x:c r="Z34" s="181" t="n">
        <x:f>IFERROR(Y34/Q34-1,0)</x:f>
        <x:v>0.7406933842266747</x:v>
      </x:c>
    </x:row>
    <x:row r="35">
      <x:c r="A35" t="str">
        <x:f>'Katalog kart'!A35</x:f>
        <x:v>S79</x:v>
      </x:c>
      <x:c r="B35" t="str">
        <x:f>'Katalog kart'!M35</x:f>
        <x:v>Dzikie bestie</x:v>
      </x:c>
      <x:c r="C35" t="str">
        <x:f>'Katalog kart'!D35</x:f>
        <x:v>Dwugłowa Hiena</x:v>
      </x:c>
      <x:c r="D35" t="str">
        <x:f>'Katalog kart'!B35</x:f>
        <x:v>Przy ataku</x:v>
      </x:c>
      <x:c r="E35" t="str">
        <x:f>'Katalog kart'!C35</x:f>
        <x:v>Podwójny atak</x:v>
      </x:c>
      <x:c r="F35" t="n">
        <x:f>'Katalog kart'!E35</x:f>
        <x:v>1</x:v>
      </x:c>
      <x:c r="G35" t="n">
        <x:f>'Katalog kart'!F35</x:f>
        <x:v>5</x:v>
      </x:c>
      <x:c r="H35" t="n">
        <x:f>'Balans — VP3'!H49*'Kalibracja — parametry'!$B$9+'Balans — VP3'!J49</x:f>
        <x:v>8</x:v>
      </x:c>
      <x:c r="I35" t="n">
        <x:f>'Balans — VP3'!I49*'Kalibracja — parametry'!$B$9+'Balans — VP3'!K49</x:f>
        <x:v>0</x:v>
      </x:c>
      <x:c r="J35" s="207" t="n">
        <x:v>1</x:v>
      </x:c>
      <x:c r="K35" s="207" t="n">
        <x:v>0</x:v>
      </x:c>
      <x:c r="L35" s="180" t="n">
        <x:f>IFERROR(VLOOKUP(E35,'Kalibracja — parametry'!$A$18:$G$31,2,FALSE),0)</x:f>
        <x:v>2.55</x:v>
      </x:c>
      <x:c r="M35" s="180" t="n">
        <x:f>IFERROR(VLOOKUP(E35,'Kalibracja — parametry'!$A$18:$G$31,3,FALSE),0)</x:f>
        <x:v>0.68</x:v>
      </x:c>
      <x:c r="N35" s="180" t="n">
        <x:f>IFERROR(VLOOKUP(E35,'Kalibracja — parametry'!$A$18:$G$31,4,FALSE),0)</x:f>
        <x:v>0.53</x:v>
      </x:c>
      <x:c r="O35" s="180" t="n">
        <x:f>IFERROR(VLOOKUP(D35,'Kalibracja — parametry'!$A$35:$D$39,2,FALSE),0)</x:f>
        <x:v>1.2</x:v>
      </x:c>
      <x:c r="P35" s="180" t="n">
        <x:f>M35*IF(O35&lt;=1,O35,1+(O35-1)*N35)</x:f>
        <x:v>0.75208</x:v>
      </x:c>
      <x:c r="Q35" s="205" t="n">
        <x:f>'Kalibracja — parametry'!$B$6*F35+'Kalibracja — parametry'!$B$7*G35+'Kalibracja — parametry'!$B$8*J35*L35*P35</x:f>
        <x:v>5.167804</x:v>
      </x:c>
      <x:c r="R35" s="205" t="n">
        <x:f>'Kalibracja — parametry'!$B$6*(F35+H35)+'Kalibracja — parametry'!$B$7*(G35+I35)+'Kalibracja — parametry'!$B$8*(J35+K35)*L35*P35</x:f>
        <x:v>13.167804</x:v>
      </x:c>
      <x:c r="S35" s="205" t="n">
        <x:f>Q35+R35</x:f>
        <x:v>18.335608</x:v>
      </x:c>
      <x:c r="T35" s="181" t="n">
        <x:f>IFERROR(S35/'Kalibracja — parametry'!$B$10-1,0)</x:f>
        <x:v>0.05611344707224064</x:v>
      </x:c>
      <x:c r="U35" t="str">
        <x:f>IF(T35&gt;'Kalibracja — parametry'!$B$11,"WYSOKA",IF(T35&lt; -'Kalibracja — parametry'!$B$11,"NISKA","W PASMIE"))</x:f>
        <x:v>W PASMIE</x:v>
      </x:c>
      <x:c r="V35" s="91" t="str">
        <x:v>WYSOKIE: kombinacja</x:v>
      </x:c>
      <x:c r="W35" t="str">
        <x:v>Drugi atak także wyzwala zdolność Przy ataku.</x:v>
      </x:c>
      <x:c r="X35" t="str">
        <x:v>Jeden status lub możliwość</x:v>
      </x:c>
      <x:c r="Y35" s="180" t="n">
        <x:f>R35/(1+'Kalibracja — parametry'!$B$12)^'Kalibracja — parametry'!$B$9</x:f>
        <x:v>8.436054676288492</x:v>
      </x:c>
      <x:c r="Z35" s="181" t="n">
        <x:f>IFERROR(Y35/Q35-1,0)</x:f>
        <x:v>0.632425431825296</x:v>
      </x:c>
    </x:row>
    <x:row r="36">
      <x:c r="A36" t="str">
        <x:f>'Katalog kart'!A36</x:f>
        <x:v>S21</x:v>
      </x:c>
      <x:c r="B36" t="str">
        <x:f>'Katalog kart'!M36</x:f>
        <x:v>Potwory</x:v>
      </x:c>
      <x:c r="C36" t="str">
        <x:f>'Katalog kart'!D36</x:f>
        <x:v>Widmo Otchłani</x:v>
      </x:c>
      <x:c r="D36" t="str">
        <x:f>'Katalog kart'!B36</x:f>
        <x:v>Przy śmierci</x:v>
      </x:c>
      <x:c r="E36" t="str">
        <x:f>'Katalog kart'!C36</x:f>
        <x:v>Obrażenia</x:v>
      </x:c>
      <x:c r="F36" t="n">
        <x:f>'Katalog kart'!E36</x:f>
        <x:v>1</x:v>
      </x:c>
      <x:c r="G36" t="n">
        <x:f>'Katalog kart'!F36</x:f>
        <x:v>4</x:v>
      </x:c>
      <x:c r="H36" t="n">
        <x:f>'Balans — VP3'!H50*'Kalibracja — parametry'!$B$9+'Balans — VP3'!J50</x:f>
        <x:v>6</x:v>
      </x:c>
      <x:c r="I36" t="n">
        <x:f>'Balans — VP3'!I50*'Kalibracja — parametry'!$B$9+'Balans — VP3'!K50</x:f>
        <x:v>0</x:v>
      </x:c>
      <x:c r="J36" s="207" t="n">
        <x:v>4</x:v>
      </x:c>
      <x:c r="K36" s="207" t="n">
        <x:v>1</x:v>
      </x:c>
      <x:c r="L36" s="180" t="n">
        <x:f>IFERROR(VLOOKUP(E36,'Kalibracja — parametry'!$A$18:$G$31,2,FALSE),0)</x:f>
        <x:v>1</x:v>
      </x:c>
      <x:c r="M36" s="180" t="n">
        <x:f>IFERROR(VLOOKUP(E36,'Kalibracja — parametry'!$A$18:$G$31,3,FALSE),0)</x:f>
        <x:v>0.9</x:v>
      </x:c>
      <x:c r="N36" s="180" t="n">
        <x:f>IFERROR(VLOOKUP(E36,'Kalibracja — parametry'!$A$18:$G$31,4,FALSE),0)</x:f>
        <x:v>0.95</x:v>
      </x:c>
      <x:c r="O36" s="180" t="n">
        <x:f>IFERROR(VLOOKUP(D36,'Kalibracja — parametry'!$A$35:$D$39,2,FALSE),0)</x:f>
        <x:v>0.6</x:v>
      </x:c>
      <x:c r="P36" s="180" t="n">
        <x:f>M36*IF(O36&lt;=1,O36,1+(O36-1)*N36)</x:f>
        <x:v>0.54</x:v>
      </x:c>
      <x:c r="Q36" s="205" t="n">
        <x:f>'Kalibracja — parametry'!$B$6*F36+'Kalibracja — parametry'!$B$7*G36+'Kalibracja — parametry'!$B$8*J36*L36*P36</x:f>
        <x:v>4.96</x:v>
      </x:c>
      <x:c r="R36" s="205" t="n">
        <x:f>'Kalibracja — parametry'!$B$6*(F36+H36)+'Kalibracja — parametry'!$B$7*(G36+I36)+'Kalibracja — parametry'!$B$8*(J36+K36)*L36*P36</x:f>
        <x:v>11.5</x:v>
      </x:c>
      <x:c r="S36" s="205" t="n">
        <x:f>Q36+R36</x:f>
        <x:v>16.46</x:v>
      </x:c>
      <x:c r="T36" s="181" t="n">
        <x:f>IFERROR(S36/'Kalibracja — parametry'!$B$10-1,0)</x:f>
        <x:v>-0.05191977605492659</x:v>
      </x:c>
      <x:c r="U36" t="str">
        <x:f>IF(T36&gt;'Kalibracja — parametry'!$B$11,"WYSOKA",IF(T36&lt; -'Kalibracja — parametry'!$B$11,"NISKA","W PASMIE"))</x:f>
        <x:v>W PASMIE</x:v>
      </x:c>
      <x:c r="V36" s="91" t="str">
        <x:v>—</x:v>
      </x:c>
      <x:c r="W36" t="str"/>
      <x:c r="X36" t="str">
        <x:v>Suma obrażeń / leczenia / pancerza</x:v>
      </x:c>
      <x:c r="Y36" s="180" t="n">
        <x:f>R36/(1+'Kalibracja — parametry'!$B$12)^'Kalibracja — parametry'!$B$9</x:f>
        <x:v>7.367563245725533</x:v>
      </x:c>
      <x:c r="Z36" s="181" t="n">
        <x:f>IFERROR(Y36/Q36-1,0)</x:f>
        <x:v>0.4853958156704703</x:v>
      </x:c>
    </x:row>
    <x:row r="37">
      <x:c r="A37" t="str">
        <x:f>'Katalog kart'!A37</x:f>
        <x:v>S17</x:v>
      </x:c>
      <x:c r="B37" t="str">
        <x:f>'Katalog kart'!M37</x:f>
        <x:v>Potwory</x:v>
      </x:c>
      <x:c r="C37" t="str">
        <x:f>'Katalog kart'!D37</x:f>
        <x:v>Duch Ostatniej Łaski</x:v>
      </x:c>
      <x:c r="D37" t="str">
        <x:f>'Katalog kart'!B37</x:f>
        <x:v>Przy śmierci</x:v>
      </x:c>
      <x:c r="E37" t="str">
        <x:f>'Katalog kart'!C37</x:f>
        <x:v>Leczenie</x:v>
      </x:c>
      <x:c r="F37" t="n">
        <x:f>'Katalog kart'!E37</x:f>
        <x:v>3</x:v>
      </x:c>
      <x:c r="G37" t="n">
        <x:f>'Katalog kart'!F37</x:f>
        <x:v>8</x:v>
      </x:c>
      <x:c r="H37" t="n">
        <x:f>'Balans — VP3'!H51*'Kalibracja — parametry'!$B$9+'Balans — VP3'!J51</x:f>
        <x:v>0</x:v>
      </x:c>
      <x:c r="I37" t="n">
        <x:f>'Balans — VP3'!I51*'Kalibracja — parametry'!$B$9+'Balans — VP3'!K51</x:f>
        <x:v>6</x:v>
      </x:c>
      <x:c r="J37" s="207" t="n">
        <x:v>6</x:v>
      </x:c>
      <x:c r="K37" s="207" t="n">
        <x:v>1</x:v>
      </x:c>
      <x:c r="L37" s="180" t="n">
        <x:f>IFERROR(VLOOKUP(E37,'Kalibracja — parametry'!$A$18:$G$31,2,FALSE),0)</x:f>
        <x:v>0.66</x:v>
      </x:c>
      <x:c r="M37" s="180" t="n">
        <x:f>IFERROR(VLOOKUP(E37,'Kalibracja — parametry'!$A$18:$G$31,3,FALSE),0)</x:f>
        <x:v>0.72</x:v>
      </x:c>
      <x:c r="N37" s="180" t="n">
        <x:f>IFERROR(VLOOKUP(E37,'Kalibracja — parametry'!$A$18:$G$31,4,FALSE),0)</x:f>
        <x:v>0.82</x:v>
      </x:c>
      <x:c r="O37" s="180" t="n">
        <x:f>IFERROR(VLOOKUP(D37,'Kalibracja — parametry'!$A$35:$D$39,2,FALSE),0)</x:f>
        <x:v>0.6</x:v>
      </x:c>
      <x:c r="P37" s="180" t="n">
        <x:f>M37*IF(O37&lt;=1,O37,1+(O37-1)*N37)</x:f>
        <x:v>0.432</x:v>
      </x:c>
      <x:c r="Q37" s="205" t="n">
        <x:f>'Kalibracja — parametry'!$B$6*F37+'Kalibracja — parametry'!$B$7*G37+'Kalibracja — parametry'!$B$8*J37*L37*P37</x:f>
        <x:v>8.31072</x:v>
      </x:c>
      <x:c r="R37" s="205" t="n">
        <x:f>'Kalibracja — parametry'!$B$6*(F37+H37)+'Kalibracja — parametry'!$B$7*(G37+I37)+'Kalibracja — parametry'!$B$8*(J37+K37)*L37*P37</x:f>
        <x:v>11.29584</x:v>
      </x:c>
      <x:c r="S37" s="205" t="n">
        <x:f>Q37+R37</x:f>
        <x:v>19.60656</x:v>
      </x:c>
      <x:c r="T37" s="181" t="n">
        <x:f>IFERROR(S37/'Kalibracja — parametry'!$B$10-1,0)</x:f>
        <x:v>0.12931906413077265</x:v>
      </x:c>
      <x:c r="U37" t="str">
        <x:f>IF(T37&gt;'Kalibracja — parametry'!$B$11,"WYSOKA",IF(T37&lt; -'Kalibracja — parametry'!$B$11,"NISKA","W PASMIE"))</x:f>
        <x:v>WYSOKA</x:v>
      </x:c>
      <x:c r="V37" s="91" t="str">
        <x:v>—</x:v>
      </x:c>
      <x:c r="W37" t="str"/>
      <x:c r="X37" t="str">
        <x:v>Suma obrażeń / leczenia / pancerza</x:v>
      </x:c>
      <x:c r="Y37" s="180" t="n">
        <x:f>R37/(1+'Kalibracja — parametry'!$B$12)^'Kalibracja — parametry'!$B$9</x:f>
        <x:v>7.236766575095331</x:v>
      </x:c>
      <x:c r="Z37" s="181" t="n">
        <x:f>IFERROR(Y37/Q37-1,0)</x:f>
        <x:v>-0.12922507615521506</x:v>
      </x:c>
    </x:row>
    <x:row r="38">
      <x:c r="A38" t="str">
        <x:f>'Katalog kart'!A38</x:f>
        <x:v>S23</x:v>
      </x:c>
      <x:c r="B38" t="str">
        <x:f>'Katalog kart'!M38</x:f>
        <x:v>Potwory</x:v>
      </x:c>
      <x:c r="C38" t="str">
        <x:f>'Katalog kart'!D38</x:f>
        <x:v>Klątwonosiciel</x:v>
      </x:c>
      <x:c r="D38" t="str">
        <x:f>'Katalog kart'!B38</x:f>
        <x:v>Przy śmierci</x:v>
      </x:c>
      <x:c r="E38" t="str">
        <x:f>'Katalog kart'!C38</x:f>
        <x:v>ATK ±</x:v>
      </x:c>
      <x:c r="F38" t="n">
        <x:f>'Katalog kart'!E38</x:f>
        <x:v>1</x:v>
      </x:c>
      <x:c r="G38" t="n">
        <x:f>'Katalog kart'!F38</x:f>
        <x:v>3</x:v>
      </x:c>
      <x:c r="H38" t="n">
        <x:f>'Balans — VP3'!H52*'Kalibracja — parametry'!$B$9+'Balans — VP3'!J52</x:f>
        <x:v>6</x:v>
      </x:c>
      <x:c r="I38" t="n">
        <x:f>'Balans — VP3'!I52*'Kalibracja — parametry'!$B$9+'Balans — VP3'!K52</x:f>
        <x:v>0</x:v>
      </x:c>
      <x:c r="J38" s="207" t="n">
        <x:v>4</x:v>
      </x:c>
      <x:c r="K38" s="207" t="n">
        <x:v>1</x:v>
      </x:c>
      <x:c r="L38" s="180" t="n">
        <x:f>IFERROR(VLOOKUP(E38,'Kalibracja — parametry'!$A$18:$G$31,2,FALSE),0)</x:f>
        <x:v>1.05</x:v>
      </x:c>
      <x:c r="M38" s="180" t="n">
        <x:f>IFERROR(VLOOKUP(E38,'Kalibracja — parametry'!$A$18:$G$31,3,FALSE),0)</x:f>
        <x:v>0.8</x:v>
      </x:c>
      <x:c r="N38" s="180" t="n">
        <x:f>IFERROR(VLOOKUP(E38,'Kalibracja — parametry'!$A$18:$G$31,4,FALSE),0)</x:f>
        <x:v>0.72</x:v>
      </x:c>
      <x:c r="O38" s="180" t="n">
        <x:f>IFERROR(VLOOKUP(D38,'Kalibracja — parametry'!$A$35:$D$39,2,FALSE),0)</x:f>
        <x:v>0.6</x:v>
      </x:c>
      <x:c r="P38" s="180" t="n">
        <x:f>M38*IF(O38&lt;=1,O38,1+(O38-1)*N38)</x:f>
        <x:v>0.48</x:v>
      </x:c>
      <x:c r="Q38" s="205" t="n">
        <x:f>'Kalibracja — parametry'!$B$6*F38+'Kalibracja — parametry'!$B$7*G38+'Kalibracja — parametry'!$B$8*J38*L38*P38</x:f>
        <x:v>4.366</x:v>
      </x:c>
      <x:c r="R38" s="205" t="n">
        <x:f>'Kalibracja — parametry'!$B$6*(F38+H38)+'Kalibracja — parametry'!$B$7*(G38+I38)+'Kalibracja — parametry'!$B$8*(J38+K38)*L38*P38</x:f>
        <x:v>10.87</x:v>
      </x:c>
      <x:c r="S38" s="205" t="n">
        <x:f>Q38+R38</x:f>
        <x:v>15.235999999999999</x:v>
      </x:c>
      <x:c r="T38" s="181" t="n">
        <x:f>IFERROR(S38/'Kalibracja — parametry'!$B$10-1,0)</x:f>
        <x:v>-0.12242100291451175</x:v>
      </x:c>
      <x:c r="U38" t="str">
        <x:f>IF(T38&gt;'Kalibracja — parametry'!$B$11,"WYSOKA",IF(T38&lt; -'Kalibracja — parametry'!$B$11,"NISKA","W PASMIE"))</x:f>
        <x:v>NISKA</x:v>
      </x:c>
      <x:c r="V38" s="91" t="str">
        <x:v>—</x:v>
      </x:c>
      <x:c r="W38" t="str"/>
      <x:c r="X38" t="str">
        <x:v>Punkty ATK/MAX HP przy aktywacji</x:v>
      </x:c>
      <x:c r="Y38" s="180" t="n">
        <x:f>R38/(1+'Kalibracja — parametry'!$B$12)^'Kalibracja — parametry'!$B$9</x:f>
        <x:v>6.963948911394481</x:v>
      </x:c>
      <x:c r="Z38" s="181" t="n">
        <x:f>IFERROR(Y38/Q38-1,0)</x:f>
        <x:v>0.595040978331306</x:v>
      </x:c>
    </x:row>
    <x:row r="39">
      <x:c r="A39" t="str">
        <x:f>'Katalog kart'!A39</x:f>
        <x:v>S81</x:v>
      </x:c>
      <x:c r="B39" t="str">
        <x:f>'Katalog kart'!M39</x:f>
        <x:v>Potwory</x:v>
      </x:c>
      <x:c r="C39" t="str">
        <x:f>'Katalog kart'!D39</x:f>
        <x:v>Krwawy Homunkulus</x:v>
      </x:c>
      <x:c r="D39" t="str">
        <x:f>'Katalog kart'!B39</x:f>
        <x:v>Przy śmierci</x:v>
      </x:c>
      <x:c r="E39" t="str">
        <x:f>'Katalog kart'!C39</x:f>
        <x:v>MAX HP ±</x:v>
      </x:c>
      <x:c r="F39" t="n">
        <x:f>'Katalog kart'!E39</x:f>
        <x:v>4</x:v>
      </x:c>
      <x:c r="G39" t="n">
        <x:f>'Katalog kart'!F39</x:f>
        <x:v>7</x:v>
      </x:c>
      <x:c r="H39" t="n">
        <x:f>'Balans — VP3'!H53*'Kalibracja — parametry'!$B$9+'Balans — VP3'!J53</x:f>
        <x:v>0</x:v>
      </x:c>
      <x:c r="I39" t="n">
        <x:f>'Balans — VP3'!I53*'Kalibracja — parametry'!$B$9+'Balans — VP3'!K53</x:f>
        <x:v>6</x:v>
      </x:c>
      <x:c r="J39" s="207" t="n">
        <x:v>5</x:v>
      </x:c>
      <x:c r="K39" s="207" t="n">
        <x:v>1</x:v>
      </x:c>
      <x:c r="L39" s="180" t="n">
        <x:f>IFERROR(VLOOKUP(E39,'Kalibracja — parametry'!$A$18:$G$31,2,FALSE),0)</x:f>
        <x:v>0.52</x:v>
      </x:c>
      <x:c r="M39" s="180" t="n">
        <x:f>IFERROR(VLOOKUP(E39,'Kalibracja — parametry'!$A$18:$G$31,3,FALSE),0)</x:f>
        <x:v>0.8</x:v>
      </x:c>
      <x:c r="N39" s="180" t="n">
        <x:f>IFERROR(VLOOKUP(E39,'Kalibracja — parametry'!$A$18:$G$31,4,FALSE),0)</x:f>
        <x:v>0.72</x:v>
      </x:c>
      <x:c r="O39" s="180" t="n">
        <x:f>IFERROR(VLOOKUP(D39,'Kalibracja — parametry'!$A$35:$D$39,2,FALSE),0)</x:f>
        <x:v>0.6</x:v>
      </x:c>
      <x:c r="P39" s="180" t="n">
        <x:f>M39*IF(O39&lt;=1,O39,1+(O39-1)*N39)</x:f>
        <x:v>0.48</x:v>
      </x:c>
      <x:c r="Q39" s="205" t="n">
        <x:f>'Kalibracja — parametry'!$B$6*F39+'Kalibracja — parametry'!$B$7*G39+'Kalibracja — parametry'!$B$8*J39*L39*P39</x:f>
        <x:v>8.398</x:v>
      </x:c>
      <x:c r="R39" s="205" t="n">
        <x:f>'Kalibracja — parametry'!$B$6*(F39+H39)+'Kalibracja — parametry'!$B$7*(G39+I39)+'Kalibracja — parametry'!$B$8*(J39+K39)*L39*P39</x:f>
        <x:v>11.347600000000002</x:v>
      </x:c>
      <x:c r="S39" s="205" t="n">
        <x:f>Q39+R39</x:f>
        <x:v>19.745600000000003</x:v>
      </x:c>
      <x:c r="T39" s="181" t="n">
        <x:f>IFERROR(S39/'Kalibracja — parametry'!$B$10-1,0)</x:f>
        <x:v>0.1373276348681558</x:v>
      </x:c>
      <x:c r="U39" t="str">
        <x:f>IF(T39&gt;'Kalibracja — parametry'!$B$11,"WYSOKA",IF(T39&lt; -'Kalibracja — parametry'!$B$11,"NISKA","W PASMIE"))</x:f>
        <x:v>WYSOKA</x:v>
      </x:c>
      <x:c r="V39" s="91" t="str">
        <x:v>—</x:v>
      </x:c>
      <x:c r="W39" t="str"/>
      <x:c r="X39" t="str">
        <x:v>Punkty ATK/MAX HP przy aktywacji</x:v>
      </x:c>
      <x:c r="Y39" s="180" t="n">
        <x:f>R39/(1+'Kalibracja — parametry'!$B$12)^'Kalibracja — parametry'!$B$9</x:f>
        <x:v>7.2699270162778316</x:v>
      </x:c>
      <x:c r="Z39" s="181" t="n">
        <x:f>IFERROR(Y39/Q39-1,0)</x:f>
        <x:v>-0.13432638529675733</x:v>
      </x:c>
    </x:row>
    <x:row r="40">
      <x:c r="A40" t="str">
        <x:f>'Katalog kart'!A40</x:f>
        <x:v>S82</x:v>
      </x:c>
      <x:c r="B40" t="str">
        <x:f>'Katalog kart'!M40</x:f>
        <x:v>Potwory</x:v>
      </x:c>
      <x:c r="C40" t="str">
        <x:f>'Katalog kart'!D40</x:f>
        <x:v>Golem Grobowy</x:v>
      </x:c>
      <x:c r="D40" t="str">
        <x:f>'Katalog kart'!B40</x:f>
        <x:v>Przy śmierci</x:v>
      </x:c>
      <x:c r="E40" t="str">
        <x:f>'Katalog kart'!C40</x:f>
        <x:v>Pancerz</x:v>
      </x:c>
      <x:c r="F40" t="n">
        <x:f>'Katalog kart'!E40</x:f>
        <x:v>3</x:v>
      </x:c>
      <x:c r="G40" t="n">
        <x:f>'Katalog kart'!F40</x:f>
        <x:v>7</x:v>
      </x:c>
      <x:c r="H40" t="n">
        <x:f>'Balans — VP3'!H54*'Kalibracja — parametry'!$B$9+'Balans — VP3'!J54</x:f>
        <x:v>0</x:v>
      </x:c>
      <x:c r="I40" t="n">
        <x:f>'Balans — VP3'!I54*'Kalibracja — parametry'!$B$9+'Balans — VP3'!K54</x:f>
        <x:v>6</x:v>
      </x:c>
      <x:c r="J40" s="207" t="n">
        <x:v>6</x:v>
      </x:c>
      <x:c r="K40" s="207" t="n">
        <x:v>1</x:v>
      </x:c>
      <x:c r="L40" s="180" t="n">
        <x:f>IFERROR(VLOOKUP(E40,'Kalibracja — parametry'!$A$18:$G$31,2,FALSE),0)</x:f>
        <x:v>0.55</x:v>
      </x:c>
      <x:c r="M40" s="180" t="n">
        <x:f>IFERROR(VLOOKUP(E40,'Kalibracja — parametry'!$A$18:$G$31,3,FALSE),0)</x:f>
        <x:v>0.76</x:v>
      </x:c>
      <x:c r="N40" s="180" t="n">
        <x:f>IFERROR(VLOOKUP(E40,'Kalibracja — parametry'!$A$18:$G$31,4,FALSE),0)</x:f>
        <x:v>0.64</x:v>
      </x:c>
      <x:c r="O40" s="180" t="n">
        <x:f>IFERROR(VLOOKUP(D40,'Kalibracja — parametry'!$A$35:$D$39,2,FALSE),0)</x:f>
        <x:v>0.6</x:v>
      </x:c>
      <x:c r="P40" s="180" t="n">
        <x:f>M40*IF(O40&lt;=1,O40,1+(O40-1)*N40)</x:f>
        <x:v>0.45599999999999996</x:v>
      </x:c>
      <x:c r="Q40" s="205" t="n">
        <x:f>'Kalibracja — parametry'!$B$6*F40+'Kalibracja — parametry'!$B$7*G40+'Kalibracja — parametry'!$B$8*J40*L40*P40</x:f>
        <x:v>7.6548</x:v>
      </x:c>
      <x:c r="R40" s="205" t="n">
        <x:f>'Kalibracja — parametry'!$B$6*(F40+H40)+'Kalibracja — parametry'!$B$7*(G40+I40)+'Kalibracja — parametry'!$B$8*(J40+K40)*L40*P40</x:f>
        <x:v>10.6056</x:v>
      </x:c>
      <x:c r="S40" s="205" t="n">
        <x:f>Q40+R40</x:f>
        <x:v>18.2604</x:v>
      </x:c>
      <x:c r="T40" s="181" t="n">
        <x:f>IFERROR(S40/'Kalibracja — parametry'!$B$10-1,0)</x:f>
        <x:v>0.051781538355201606</x:v>
      </x:c>
      <x:c r="U40" t="str">
        <x:f>IF(T40&gt;'Kalibracja — parametry'!$B$11,"WYSOKA",IF(T40&lt; -'Kalibracja — parametry'!$B$11,"NISKA","W PASMIE"))</x:f>
        <x:v>W PASMIE</x:v>
      </x:c>
      <x:c r="V40" s="91" t="str">
        <x:v>—</x:v>
      </x:c>
      <x:c r="W40" t="str"/>
      <x:c r="X40" t="str">
        <x:v>Suma obrażeń / leczenia / pancerza</x:v>
      </x:c>
      <x:c r="Y40" s="180" t="n">
        <x:f>R40/(1+'Kalibracja — parametry'!$B$12)^'Kalibracja — parametry'!$B$9</x:f>
        <x:v>6.794559022510149</x:v>
      </x:c>
      <x:c r="Z40" s="181" t="n">
        <x:f>IFERROR(Y40/Q40-1,0)</x:f>
        <x:v>-0.11237928848433021</x:v>
      </x:c>
    </x:row>
    <x:row r="41">
      <x:c r="A41" t="str">
        <x:f>'Katalog kart'!A41</x:f>
        <x:v>S20</x:v>
      </x:c>
      <x:c r="B41" t="str">
        <x:f>'Katalog kart'!M41</x:f>
        <x:v>Potwory</x:v>
      </x:c>
      <x:c r="C41" t="str">
        <x:f>'Katalog kart'!D41</x:f>
        <x:v>Strażnik Mauzoleum</x:v>
      </x:c>
      <x:c r="D41" t="str">
        <x:f>'Katalog kart'!B41</x:f>
        <x:v>Przy śmierci</x:v>
      </x:c>
      <x:c r="E41" t="str">
        <x:f>'Katalog kart'!C41</x:f>
        <x:v>Tarcza</x:v>
      </x:c>
      <x:c r="F41" t="n">
        <x:f>'Katalog kart'!E41</x:f>
        <x:v>4</x:v>
      </x:c>
      <x:c r="G41" t="n">
        <x:f>'Katalog kart'!F41</x:f>
        <x:v>7</x:v>
      </x:c>
      <x:c r="H41" t="n">
        <x:f>'Balans — VP3'!H55*'Kalibracja — parametry'!$B$9+'Balans — VP3'!J55</x:f>
        <x:v>0</x:v>
      </x:c>
      <x:c r="I41" t="n">
        <x:f>'Balans — VP3'!I55*'Kalibracja — parametry'!$B$9+'Balans — VP3'!K55</x:f>
        <x:v>9</x:v>
      </x:c>
      <x:c r="J41" s="207" t="n">
        <x:v>1</x:v>
      </x:c>
      <x:c r="K41" s="207" t="n">
        <x:v>0</x:v>
      </x:c>
      <x:c r="L41" s="180" t="n">
        <x:f>IFERROR(VLOOKUP(E41,'Kalibracja — parametry'!$A$18:$G$31,2,FALSE),0)</x:f>
        <x:v>2.2</x:v>
      </x:c>
      <x:c r="M41" s="180" t="n">
        <x:f>IFERROR(VLOOKUP(E41,'Kalibracja — parametry'!$A$18:$G$31,3,FALSE),0)</x:f>
        <x:v>0.67</x:v>
      </x:c>
      <x:c r="N41" s="180" t="n">
        <x:f>IFERROR(VLOOKUP(E41,'Kalibracja — parametry'!$A$18:$G$31,4,FALSE),0)</x:f>
        <x:v>0.23</x:v>
      </x:c>
      <x:c r="O41" s="180" t="n">
        <x:f>IFERROR(VLOOKUP(D41,'Kalibracja — parametry'!$A$35:$D$39,2,FALSE),0)</x:f>
        <x:v>0.6</x:v>
      </x:c>
      <x:c r="P41" s="180" t="n">
        <x:f>M41*IF(O41&lt;=1,O41,1+(O41-1)*N41)</x:f>
        <x:v>0.402</x:v>
      </x:c>
      <x:c r="Q41" s="205" t="n">
        <x:f>'Kalibracja — parametry'!$B$6*F41+'Kalibracja — parametry'!$B$7*G41+'Kalibracja — parametry'!$B$8*J41*L41*P41</x:f>
        <x:v>8.0344</x:v>
      </x:c>
      <x:c r="R41" s="205" t="n">
        <x:f>'Kalibracja — parametry'!$B$6*(F41+H41)+'Kalibracja — parametry'!$B$7*(G41+I41)+'Kalibracja — parametry'!$B$8*(J41+K41)*L41*P41</x:f>
        <x:v>12.084399999999999</x:v>
      </x:c>
      <x:c r="S41" s="205" t="n">
        <x:f>Q41+R41</x:f>
        <x:v>20.1188</x:v>
      </x:c>
      <x:c r="T41" s="181" t="n">
        <x:f>IFERROR(S41/'Kalibracja — parametry'!$B$10-1,0)</x:f>
        <x:v>0.1588235971753429</x:v>
      </x:c>
      <x:c r="U41" t="str">
        <x:f>IF(T41&gt;'Kalibracja — parametry'!$B$11,"WYSOKA",IF(T41&lt; -'Kalibracja — parametry'!$B$11,"NISKA","W PASMIE"))</x:f>
        <x:v>WYSOKA</x:v>
      </x:c>
      <x:c r="V41" s="91" t="str">
        <x:v>—</x:v>
      </x:c>
      <x:c r="W41" t="str">
        <x:v>Premia co 3T jest w statystykach, nie w liczbie ładunków/ataków.</x:v>
      </x:c>
      <x:c r="X41" t="str">
        <x:v>Jeden status lub możliwość</x:v>
      </x:c>
      <x:c r="Y41" s="180" t="n">
        <x:f>R41/(1+'Kalibracja — parametry'!$B$12)^'Kalibracja — parametry'!$B$9</x:f>
        <x:v>7.741963590143097</x:v>
      </x:c>
      <x:c r="Z41" s="181" t="n">
        <x:f>IFERROR(Y41/Q41-1,0)</x:f>
        <x:v>-0.03639803966156807</x:v>
      </x:c>
    </x:row>
    <x:row r="42">
      <x:c r="A42" t="str">
        <x:f>'Katalog kart'!A42</x:f>
        <x:v>S83</x:v>
      </x:c>
      <x:c r="B42" t="str">
        <x:f>'Katalog kart'!M42</x:f>
        <x:v>Potwory</x:v>
      </x:c>
      <x:c r="C42" t="str">
        <x:f>'Katalog kart'!D42</x:f>
        <x:v>Nosiciel Plagi</x:v>
      </x:c>
      <x:c r="D42" t="str">
        <x:f>'Katalog kart'!B42</x:f>
        <x:v>Przy śmierci</x:v>
      </x:c>
      <x:c r="E42" t="str">
        <x:f>'Katalog kart'!C42</x:f>
        <x:v>Trucizna</x:v>
      </x:c>
      <x:c r="F42" t="n">
        <x:f>'Katalog kart'!E42</x:f>
        <x:v>1</x:v>
      </x:c>
      <x:c r="G42" t="n">
        <x:f>'Katalog kart'!F42</x:f>
        <x:v>5</x:v>
      </x:c>
      <x:c r="H42" t="n">
        <x:f>'Balans — VP3'!H56*'Kalibracja — parametry'!$B$9+'Balans — VP3'!J56</x:f>
        <x:v>6</x:v>
      </x:c>
      <x:c r="I42" t="n">
        <x:f>'Balans — VP3'!I56*'Kalibracja — parametry'!$B$9+'Balans — VP3'!K56</x:f>
        <x:v>0</x:v>
      </x:c>
      <x:c r="J42" s="207" t="n">
        <x:v>6</x:v>
      </x:c>
      <x:c r="K42" s="207" t="n">
        <x:v>1</x:v>
      </x:c>
      <x:c r="L42" s="180" t="n">
        <x:f>IFERROR(VLOOKUP(E42,'Kalibracja — parametry'!$A$18:$G$31,2,FALSE),0)</x:f>
        <x:v>0.78</x:v>
      </x:c>
      <x:c r="M42" s="180" t="n">
        <x:f>IFERROR(VLOOKUP(E42,'Kalibracja — parametry'!$A$18:$G$31,3,FALSE),0)</x:f>
        <x:v>0.72</x:v>
      </x:c>
      <x:c r="N42" s="180" t="n">
        <x:f>IFERROR(VLOOKUP(E42,'Kalibracja — parametry'!$A$18:$G$31,4,FALSE),0)</x:f>
        <x:v>0.55</x:v>
      </x:c>
      <x:c r="O42" s="180" t="n">
        <x:f>IFERROR(VLOOKUP(D42,'Kalibracja — parametry'!$A$35:$D$39,2,FALSE),0)</x:f>
        <x:v>0.6</x:v>
      </x:c>
      <x:c r="P42" s="180" t="n">
        <x:f>M42*IF(O42&lt;=1,O42,1+(O42-1)*N42)</x:f>
        <x:v>0.432</x:v>
      </x:c>
      <x:c r="Q42" s="205" t="n">
        <x:f>'Kalibracja — parametry'!$B$6*F42+'Kalibracja — parametry'!$B$7*G42+'Kalibracja — parametry'!$B$8*J42*L42*P42</x:f>
        <x:v>5.2717600000000004</x:v>
      </x:c>
      <x:c r="R42" s="205" t="n">
        <x:f>'Kalibracja — parametry'!$B$6*(F42+H42)+'Kalibracja — parametry'!$B$7*(G42+I42)+'Kalibracja — parametry'!$B$8*(J42+K42)*L42*P42</x:f>
        <x:v>11.60872</x:v>
      </x:c>
      <x:c r="S42" s="205" t="n">
        <x:f>Q42+R42</x:f>
        <x:v>16.88048</x:v>
      </x:c>
      <x:c r="T42" s="181" t="n">
        <x:f>IFERROR(S42/'Kalibracja — parametry'!$B$10-1,0)</x:f>
        <x:v>-0.02770053106316339</x:v>
      </x:c>
      <x:c r="U42" t="str">
        <x:f>IF(T42&gt;'Kalibracja — parametry'!$B$11,"WYSOKA",IF(T42&lt; -'Kalibracja — parametry'!$B$11,"NISKA","W PASMIE"))</x:f>
        <x:v>W PASMIE</x:v>
      </x:c>
      <x:c r="V42" s="91" t="str">
        <x:v>—</x:v>
      </x:c>
      <x:c r="W42" t="str"/>
      <x:c r="X42" t="str">
        <x:v>Suma obrażeń / leczenia / pancerza</x:v>
      </x:c>
      <x:c r="Y42" s="180" t="n">
        <x:f>R42/(1+'Kalibracja — parametry'!$B$12)^'Kalibracja — parametry'!$B$9</x:f>
        <x:v>7.437215547992948</x:v>
      </x:c>
      <x:c r="Z42" s="181" t="n">
        <x:f>IFERROR(Y42/Q42-1,0)</x:f>
        <x:v>0.4107651994766355</x:v>
      </x:c>
    </x:row>
    <x:row r="43">
      <x:c r="A43" t="str">
        <x:f>'Katalog kart'!A43</x:f>
        <x:v>S84</x:v>
      </x:c>
      <x:c r="B43" t="str">
        <x:f>'Katalog kart'!M43</x:f>
        <x:v>Potwory</x:v>
      </x:c>
      <x:c r="C43" t="str">
        <x:f>'Katalog kart'!D43</x:f>
        <x:v>Banshee Krzyku</x:v>
      </x:c>
      <x:c r="D43" t="str">
        <x:f>'Katalog kart'!B43</x:f>
        <x:v>Przy śmierci</x:v>
      </x:c>
      <x:c r="E43" t="str">
        <x:f>'Katalog kart'!C43</x:f>
        <x:v>Ogłuszenie</x:v>
      </x:c>
      <x:c r="F43" t="n">
        <x:f>'Katalog kart'!E43</x:f>
        <x:v>1</x:v>
      </x:c>
      <x:c r="G43" t="n">
        <x:f>'Katalog kart'!F43</x:f>
        <x:v>4</x:v>
      </x:c>
      <x:c r="H43" t="n">
        <x:f>'Balans — VP3'!H57*'Kalibracja — parametry'!$B$9+'Balans — VP3'!J57</x:f>
        <x:v>3</x:v>
      </x:c>
      <x:c r="I43" t="n">
        <x:f>'Balans — VP3'!I57*'Kalibracja — parametry'!$B$9+'Balans — VP3'!K57</x:f>
        <x:v>3</x:v>
      </x:c>
      <x:c r="J43" s="207" t="n">
        <x:v>1</x:v>
      </x:c>
      <x:c r="K43" s="207" t="n">
        <x:v>0</x:v>
      </x:c>
      <x:c r="L43" s="180" t="n">
        <x:f>IFERROR(VLOOKUP(E43,'Kalibracja — parametry'!$A$18:$G$31,2,FALSE),0)</x:f>
        <x:v>2.35</x:v>
      </x:c>
      <x:c r="M43" s="180" t="n">
        <x:f>IFERROR(VLOOKUP(E43,'Kalibracja — parametry'!$A$18:$G$31,3,FALSE),0)</x:f>
        <x:v>0.74</x:v>
      </x:c>
      <x:c r="N43" s="180" t="n">
        <x:f>IFERROR(VLOOKUP(E43,'Kalibracja — parametry'!$A$18:$G$31,4,FALSE),0)</x:f>
        <x:v>0.6</x:v>
      </x:c>
      <x:c r="O43" s="180" t="n">
        <x:f>IFERROR(VLOOKUP(D43,'Kalibracja — parametry'!$A$35:$D$39,2,FALSE),0)</x:f>
        <x:v>0.6</x:v>
      </x:c>
      <x:c r="P43" s="180" t="n">
        <x:f>M43*IF(O43&lt;=1,O43,1+(O43-1)*N43)</x:f>
        <x:v>0.444</x:v>
      </x:c>
      <x:c r="Q43" s="205" t="n">
        <x:f>'Kalibracja — parametry'!$B$6*F43+'Kalibracja — parametry'!$B$7*G43+'Kalibracja — parametry'!$B$8*J43*L43*P43</x:f>
        <x:v>3.8434</x:v>
      </x:c>
      <x:c r="R43" s="205" t="n">
        <x:f>'Kalibracja — parametry'!$B$6*(F43+H43)+'Kalibracja — parametry'!$B$7*(G43+I43)+'Kalibracja — parametry'!$B$8*(J43+K43)*L43*P43</x:f>
        <x:v>8.1934</x:v>
      </x:c>
      <x:c r="S43" s="205" t="n">
        <x:f>Q43+R43</x:f>
        <x:v>12.0368</x:v>
      </x:c>
      <x:c r="T43" s="181" t="n">
        <x:f>IFERROR(S43/'Kalibracja — parametry'!$B$10-1,0)</x:f>
        <x:v>-0.30669185664750553</x:v>
      </x:c>
      <x:c r="U43" t="str">
        <x:f>IF(T43&gt;'Kalibracja — parametry'!$B$11,"WYSOKA",IF(T43&lt; -'Kalibracja — parametry'!$B$11,"NISKA","W PASMIE"))</x:f>
        <x:v>NISKA</x:v>
      </x:c>
      <x:c r="V43" s="91" t="str">
        <x:v>—</x:v>
      </x:c>
      <x:c r="W43" t="str">
        <x:v>ULEPSZENIE PO 3T DO ZDEFINIOWANIA</x:v>
      </x:c>
      <x:c r="X43" t="str">
        <x:v>Jeden status lub możliwość</x:v>
      </x:c>
      <x:c r="Y43" s="180" t="n">
        <x:f>R43/(1+'Kalibracja — parametry'!$B$12)^'Kalibracja — parametry'!$B$9</x:f>
        <x:v>5.2491645823937025</x:v>
      </x:c>
      <x:c r="Z43" s="181" t="n">
        <x:f>IFERROR(Y43/Q43-1,0)</x:f>
        <x:v>0.36576067606642626</x:v>
      </x:c>
    </x:row>
    <x:row r="44">
      <x:c r="A44" t="str">
        <x:f>'Katalog kart'!A44</x:f>
        <x:v>S85</x:v>
      </x:c>
      <x:c r="B44" t="str">
        <x:f>'Katalog kart'!M44</x:f>
        <x:v>Potwory</x:v>
      </x:c>
      <x:c r="C44" t="str">
        <x:f>'Katalog kart'!D44</x:f>
        <x:v>Życiodajne Widmo</x:v>
      </x:c>
      <x:c r="D44" t="str">
        <x:f>'Katalog kart'!B44</x:f>
        <x:v>Przy śmierci</x:v>
      </x:c>
      <x:c r="E44" t="str">
        <x:f>'Katalog kart'!C44</x:f>
        <x:v>Regeneracja</x:v>
      </x:c>
      <x:c r="F44" t="n">
        <x:f>'Katalog kart'!E44</x:f>
        <x:v>3</x:v>
      </x:c>
      <x:c r="G44" t="n">
        <x:f>'Katalog kart'!F44</x:f>
        <x:v>6</x:v>
      </x:c>
      <x:c r="H44" t="n">
        <x:f>'Balans — VP3'!H58*'Kalibracja — parametry'!$B$9+'Balans — VP3'!J58</x:f>
        <x:v>0</x:v>
      </x:c>
      <x:c r="I44" t="n">
        <x:f>'Balans — VP3'!I58*'Kalibracja — parametry'!$B$9+'Balans — VP3'!K58</x:f>
        <x:v>6</x:v>
      </x:c>
      <x:c r="J44" s="207" t="n">
        <x:v>9</x:v>
      </x:c>
      <x:c r="K44" s="207" t="n">
        <x:v>1</x:v>
      </x:c>
      <x:c r="L44" s="180" t="n">
        <x:f>IFERROR(VLOOKUP(E44,'Kalibracja — parametry'!$A$18:$G$31,2,FALSE),0)</x:f>
        <x:v>0.41</x:v>
      </x:c>
      <x:c r="M44" s="180" t="n">
        <x:f>IFERROR(VLOOKUP(E44,'Kalibracja — parametry'!$A$18:$G$31,3,FALSE),0)</x:f>
        <x:v>0.66</x:v>
      </x:c>
      <x:c r="N44" s="180" t="n">
        <x:f>IFERROR(VLOOKUP(E44,'Kalibracja — parametry'!$A$18:$G$31,4,FALSE),0)</x:f>
        <x:v>0.51</x:v>
      </x:c>
      <x:c r="O44" s="180" t="n">
        <x:f>IFERROR(VLOOKUP(D44,'Kalibracja — parametry'!$A$35:$D$39,2,FALSE),0)</x:f>
        <x:v>0.6</x:v>
      </x:c>
      <x:c r="P44" s="180" t="n">
        <x:f>M44*IF(O44&lt;=1,O44,1+(O44-1)*N44)</x:f>
        <x:v>0.396</x:v>
      </x:c>
      <x:c r="Q44" s="205" t="n">
        <x:f>'Kalibracja — parametry'!$B$6*F44+'Kalibracja — parametry'!$B$7*G44+'Kalibracja — parametry'!$B$8*J44*L44*P44</x:f>
        <x:v>7.16124</x:v>
      </x:c>
      <x:c r="R44" s="205" t="n">
        <x:f>'Kalibracja — parametry'!$B$6*(F44+H44)+'Kalibracja — parametry'!$B$7*(G44+I44)+'Kalibracja — parametry'!$B$8*(J44+K44)*L44*P44</x:f>
        <x:v>10.0236</x:v>
      </x:c>
      <x:c r="S44" s="205" t="n">
        <x:f>Q44+R44</x:f>
        <x:v>17.18484</x:v>
      </x:c>
      <x:c r="T44" s="181" t="n">
        <x:f>IFERROR(S44/'Kalibracja — parametry'!$B$10-1,0)</x:f>
        <x:v>-0.010169686776412168</x:v>
      </x:c>
      <x:c r="U44" t="str">
        <x:f>IF(T44&gt;'Kalibracja — parametry'!$B$11,"WYSOKA",IF(T44&lt; -'Kalibracja — parametry'!$B$11,"NISKA","W PASMIE"))</x:f>
        <x:v>W PASMIE</x:v>
      </x:c>
      <x:c r="V44" s="91" t="str">
        <x:v>—</x:v>
      </x:c>
      <x:c r="W44" t="str"/>
      <x:c r="X44" t="str">
        <x:v>Suma obrażeń / leczenia / pancerza</x:v>
      </x:c>
      <x:c r="Y44" s="180" t="n">
        <x:f>R44/(1+'Kalibracja — parametry'!$B$12)^'Kalibracja — parametry'!$B$9</x:f>
        <x:v>6.421696256509082</x:v>
      </x:c>
      <x:c r="Z44" s="181" t="n">
        <x:f>IFERROR(Y44/Q44-1,0)</x:f>
        <x:v>-0.10327034752234499</x:v>
      </x:c>
    </x:row>
    <x:row r="45">
      <x:c r="A45" t="str">
        <x:f>'Katalog kart'!A45</x:f>
        <x:v>S86</x:v>
      </x:c>
      <x:c r="B45" t="str">
        <x:f>'Katalog kart'!M45</x:f>
        <x:v>Potwory</x:v>
      </x:c>
      <x:c r="C45" t="str">
        <x:f>'Katalog kart'!D45</x:f>
        <x:v>Trupi Wartownik</x:v>
      </x:c>
      <x:c r="D45" t="str">
        <x:f>'Katalog kart'!B45</x:f>
        <x:v>Przy śmierci</x:v>
      </x:c>
      <x:c r="E45" t="str">
        <x:f>'Katalog kart'!C45</x:f>
        <x:v>Prowokacja</x:v>
      </x:c>
      <x:c r="F45" t="n">
        <x:f>'Katalog kart'!E45</x:f>
        <x:v>3</x:v>
      </x:c>
      <x:c r="G45" t="n">
        <x:f>'Katalog kart'!F45</x:f>
        <x:v>9</x:v>
      </x:c>
      <x:c r="H45" t="n">
        <x:f>'Balans — VP3'!H59*'Kalibracja — parametry'!$B$9+'Balans — VP3'!J59</x:f>
        <x:v>0</x:v>
      </x:c>
      <x:c r="I45" t="n">
        <x:f>'Balans — VP3'!I59*'Kalibracja — parametry'!$B$9+'Balans — VP3'!K59</x:f>
        <x:v>9</x:v>
      </x:c>
      <x:c r="J45" s="207" t="n">
        <x:v>1</x:v>
      </x:c>
      <x:c r="K45" s="207" t="n">
        <x:v>0</x:v>
      </x:c>
      <x:c r="L45" s="180" t="n">
        <x:f>IFERROR(VLOOKUP(E45,'Kalibracja — parametry'!$A$18:$G$31,2,FALSE),0)</x:f>
        <x:v>1.4</x:v>
      </x:c>
      <x:c r="M45" s="180" t="n">
        <x:f>IFERROR(VLOOKUP(E45,'Kalibracja — parametry'!$A$18:$G$31,3,FALSE),0)</x:f>
        <x:v>0.68</x:v>
      </x:c>
      <x:c r="N45" s="180" t="n">
        <x:f>IFERROR(VLOOKUP(E45,'Kalibracja — parametry'!$A$18:$G$31,4,FALSE),0)</x:f>
        <x:v>0.38</x:v>
      </x:c>
      <x:c r="O45" s="180" t="n">
        <x:f>IFERROR(VLOOKUP(D45,'Kalibracja — parametry'!$A$35:$D$39,2,FALSE),0)</x:f>
        <x:v>0.6</x:v>
      </x:c>
      <x:c r="P45" s="180" t="n">
        <x:f>M45*IF(O45&lt;=1,O45,1+(O45-1)*N45)</x:f>
        <x:v>0.40800000000000003</x:v>
      </x:c>
      <x:c r="Q45" s="205" t="n">
        <x:f>'Kalibracja — parametry'!$B$6*F45+'Kalibracja — parametry'!$B$7*G45+'Kalibracja — parametry'!$B$8*J45*L45*P45</x:f>
        <x:v>7.6212</x:v>
      </x:c>
      <x:c r="R45" s="205" t="n">
        <x:f>'Kalibracja — parametry'!$B$6*(F45+H45)+'Kalibracja — parametry'!$B$7*(G45+I45)+'Kalibracja — parametry'!$B$8*(J45+K45)*L45*P45</x:f>
        <x:v>11.671199999999999</x:v>
      </x:c>
      <x:c r="S45" s="205" t="n">
        <x:f>Q45+R45</x:f>
        <x:v>19.2924</x:v>
      </x:c>
      <x:c r="T45" s="181" t="n">
        <x:f>IFERROR(S45/'Kalibracja — parametry'!$B$10-1,0)</x:f>
        <x:v>0.11122374923681244</x:v>
      </x:c>
      <x:c r="U45" t="str">
        <x:f>IF(T45&gt;'Kalibracja — parametry'!$B$11,"WYSOKA",IF(T45&lt; -'Kalibracja — parametry'!$B$11,"NISKA","W PASMIE"))</x:f>
        <x:v>W PASMIE</x:v>
      </x:c>
      <x:c r="V45" s="91" t="str">
        <x:v>—</x:v>
      </x:c>
      <x:c r="W45" t="str">
        <x:v>Premia co 3T jest w statystykach, nie w liczbie ładunków/ataków.</x:v>
      </x:c>
      <x:c r="X45" t="str">
        <x:v>Jeden status lub możliwość</x:v>
      </x:c>
      <x:c r="Y45" s="180" t="n">
        <x:f>R45/(1+'Kalibracja — parametry'!$B$12)^'Kalibracja — parametry'!$B$9</x:f>
        <x:v>7.477243839435811</x:v>
      </x:c>
      <x:c r="Z45" s="181" t="n">
        <x:f>IFERROR(Y45/Q45-1,0)</x:f>
        <x:v>-0.018888909956986888</x:v>
      </x:c>
    </x:row>
    <x:row r="46">
      <x:c r="A46" t="str">
        <x:f>'Katalog kart'!A46</x:f>
        <x:v>S87</x:v>
      </x:c>
      <x:c r="B46" t="str">
        <x:f>'Katalog kart'!M46</x:f>
        <x:v>Potwory</x:v>
      </x:c>
      <x:c r="C46" t="str">
        <x:f>'Katalog kart'!D46</x:f>
        <x:v>Widmo Rozproszenia</x:v>
      </x:c>
      <x:c r="D46" t="str">
        <x:f>'Katalog kart'!B46</x:f>
        <x:v>Przy śmierci</x:v>
      </x:c>
      <x:c r="E46" t="str">
        <x:f>'Katalog kart'!C46</x:f>
        <x:v>Oczyszczanie</x:v>
      </x:c>
      <x:c r="F46" t="n">
        <x:f>'Katalog kart'!E46</x:f>
        <x:v>1</x:v>
      </x:c>
      <x:c r="G46" t="n">
        <x:f>'Katalog kart'!F46</x:f>
        <x:v>6</x:v>
      </x:c>
      <x:c r="H46" t="n">
        <x:f>'Balans — VP3'!H60*'Kalibracja — parametry'!$B$9+'Balans — VP3'!J60</x:f>
        <x:v>3</x:v>
      </x:c>
      <x:c r="I46" t="n">
        <x:f>'Balans — VP3'!I60*'Kalibracja — parametry'!$B$9+'Balans — VP3'!K60</x:f>
        <x:v>3</x:v>
      </x:c>
      <x:c r="J46" s="207" t="n">
        <x:v>1</x:v>
      </x:c>
      <x:c r="K46" s="207" t="n">
        <x:v>0</x:v>
      </x:c>
      <x:c r="L46" s="180" t="n">
        <x:f>IFERROR(VLOOKUP(E46,'Kalibracja — parametry'!$A$18:$G$31,2,FALSE),0)</x:f>
        <x:v>1.55</x:v>
      </x:c>
      <x:c r="M46" s="180" t="n">
        <x:f>IFERROR(VLOOKUP(E46,'Kalibracja — parametry'!$A$18:$G$31,3,FALSE),0)</x:f>
        <x:v>0.45</x:v>
      </x:c>
      <x:c r="N46" s="180" t="n">
        <x:f>IFERROR(VLOOKUP(E46,'Kalibracja — parametry'!$A$18:$G$31,4,FALSE),0)</x:f>
        <x:v>0.45</x:v>
      </x:c>
      <x:c r="O46" s="180" t="n">
        <x:f>IFERROR(VLOOKUP(D46,'Kalibracja — parametry'!$A$35:$D$39,2,FALSE),0)</x:f>
        <x:v>0.6</x:v>
      </x:c>
      <x:c r="P46" s="180" t="n">
        <x:f>M46*IF(O46&lt;=1,O46,1+(O46-1)*N46)</x:f>
        <x:v>0.27</x:v>
      </x:c>
      <x:c r="Q46" s="205" t="n">
        <x:f>'Kalibracja — parametry'!$B$6*F46+'Kalibracja — parametry'!$B$7*G46+'Kalibracja — parametry'!$B$8*J46*L46*P46</x:f>
        <x:v>4.1185</x:v>
      </x:c>
      <x:c r="R46" s="205" t="n">
        <x:f>'Kalibracja — parametry'!$B$6*(F46+H46)+'Kalibracja — parametry'!$B$7*(G46+I46)+'Kalibracja — parametry'!$B$8*(J46+K46)*L46*P46</x:f>
        <x:v>8.4685</x:v>
      </x:c>
      <x:c r="S46" s="205" t="n">
        <x:f>Q46+R46</x:f>
        <x:v>12.587</x:v>
      </x:c>
      <x:c r="T46" s="181" t="n">
        <x:f>IFERROR(S46/'Kalibracja — parametry'!$B$10-1,0)</x:f>
        <x:v>-0.2750008639856234</x:v>
      </x:c>
      <x:c r="U46" t="str">
        <x:f>IF(T46&gt;'Kalibracja — parametry'!$B$11,"WYSOKA",IF(T46&lt; -'Kalibracja — parametry'!$B$11,"NISKA","W PASMIE"))</x:f>
        <x:v>NISKA</x:v>
      </x:c>
      <x:c r="V46" s="91" t="str">
        <x:v>—</x:v>
      </x:c>
      <x:c r="W46" t="str">
        <x:v>ULEPSZENIE PO 3T DO ZDEFINIOWANIA</x:v>
      </x:c>
      <x:c r="X46" t="str">
        <x:v>Jeden status lub możliwość</x:v>
      </x:c>
      <x:c r="Y46" s="180" t="n">
        <x:f>R46/(1+'Kalibracja — parametry'!$B$12)^'Kalibracja — parametry'!$B$9</x:f>
        <x:v>5.425409508384929</x:v>
      </x:c>
      <x:c r="Z46" s="181" t="n">
        <x:f>IFERROR(Y46/Q46-1,0)</x:f>
        <x:v>0.3173265772453391</x:v>
      </x:c>
    </x:row>
    <x:row r="47">
      <x:c r="A47" t="str">
        <x:f>'Katalog kart'!A47</x:f>
        <x:v>S88</x:v>
      </x:c>
      <x:c r="B47" t="str">
        <x:f>'Katalog kart'!M47</x:f>
        <x:v>Potwory</x:v>
      </x:c>
      <x:c r="C47" t="str">
        <x:f>'Katalog kart'!D47</x:f>
        <x:v>Grobowy Antymag</x:v>
      </x:c>
      <x:c r="D47" t="str">
        <x:f>'Katalog kart'!B47</x:f>
        <x:v>Przy śmierci</x:v>
      </x:c>
      <x:c r="E47" t="str">
        <x:f>'Katalog kart'!C47</x:f>
        <x:v>Odporność</x:v>
      </x:c>
      <x:c r="F47" t="n">
        <x:f>'Katalog kart'!E47</x:f>
        <x:v>4</x:v>
      </x:c>
      <x:c r="G47" t="n">
        <x:f>'Katalog kart'!F47</x:f>
        <x:v>7</x:v>
      </x:c>
      <x:c r="H47" t="n">
        <x:f>'Balans — VP3'!H61*'Kalibracja — parametry'!$B$9+'Balans — VP3'!J61</x:f>
        <x:v>0</x:v>
      </x:c>
      <x:c r="I47" t="n">
        <x:f>'Balans — VP3'!I61*'Kalibracja — parametry'!$B$9+'Balans — VP3'!K61</x:f>
        <x:v>6</x:v>
      </x:c>
      <x:c r="J47" s="207" t="n">
        <x:v>1</x:v>
      </x:c>
      <x:c r="K47" s="207" t="n">
        <x:v>0</x:v>
      </x:c>
      <x:c r="L47" s="180" t="n">
        <x:f>IFERROR(VLOOKUP(E47,'Kalibracja — parametry'!$A$18:$G$31,2,FALSE),0)</x:f>
        <x:v>1.2</x:v>
      </x:c>
      <x:c r="M47" s="180" t="n">
        <x:f>IFERROR(VLOOKUP(E47,'Kalibracja — parametry'!$A$18:$G$31,3,FALSE),0)</x:f>
        <x:v>0.55</x:v>
      </x:c>
      <x:c r="N47" s="180" t="n">
        <x:f>IFERROR(VLOOKUP(E47,'Kalibracja — parametry'!$A$18:$G$31,4,FALSE),0)</x:f>
        <x:v>0.38</x:v>
      </x:c>
      <x:c r="O47" s="180" t="n">
        <x:f>IFERROR(VLOOKUP(D47,'Kalibracja — parametry'!$A$35:$D$39,2,FALSE),0)</x:f>
        <x:v>0.6</x:v>
      </x:c>
      <x:c r="P47" s="180" t="n">
        <x:f>M47*IF(O47&lt;=1,O47,1+(O47-1)*N47)</x:f>
        <x:v>0.33</x:v>
      </x:c>
      <x:c r="Q47" s="205" t="n">
        <x:f>'Kalibracja — parametry'!$B$6*F47+'Kalibracja — parametry'!$B$7*G47+'Kalibracja — parametry'!$B$8*J47*L47*P47</x:f>
        <x:v>7.546</x:v>
      </x:c>
      <x:c r="R47" s="205" t="n">
        <x:f>'Kalibracja — parametry'!$B$6*(F47+H47)+'Kalibracja — parametry'!$B$7*(G47+I47)+'Kalibracja — parametry'!$B$8*(J47+K47)*L47*P47</x:f>
        <x:v>10.246000000000002</x:v>
      </x:c>
      <x:c r="S47" s="205" t="n">
        <x:f>Q47+R47</x:f>
        <x:v>17.792</x:v>
      </x:c>
      <x:c r="T47" s="181" t="n">
        <x:f>IFERROR(S47/'Kalibracja — parametry'!$B$10-1,0)</x:f>
        <x:v>0.02480214729226904</x:v>
      </x:c>
      <x:c r="U47" t="str">
        <x:f>IF(T47&gt;'Kalibracja — parametry'!$B$11,"WYSOKA",IF(T47&lt; -'Kalibracja — parametry'!$B$11,"NISKA","W PASMIE"))</x:f>
        <x:v>W PASMIE</x:v>
      </x:c>
      <x:c r="V47" s="91" t="str">
        <x:v>—</x:v>
      </x:c>
      <x:c r="W47" t="str">
        <x:v>ULEPSZENIE PO 3T DO ZDEFINIOWANIA</x:v>
      </x:c>
      <x:c r="X47" t="str">
        <x:v>Jeden status lub możliwość</x:v>
      </x:c>
      <x:c r="Y47" s="180" t="n">
        <x:f>R47/(1+'Kalibracja — parametry'!$B$12)^'Kalibracja — parametry'!$B$9</x:f>
        <x:v>6.5641785231046805</x:v>
      </x:c>
      <x:c r="Z47" s="181" t="n">
        <x:f>IFERROR(Y47/Q47-1,0)</x:f>
        <x:v>-0.13011151297314072</x:v>
      </x:c>
    </x:row>
    <x:row r="48">
      <x:c r="A48" t="str">
        <x:f>'Katalog kart'!A48</x:f>
        <x:v>S90</x:v>
      </x:c>
      <x:c r="B48" t="str">
        <x:f>'Katalog kart'!M48</x:f>
        <x:v>Potwory</x:v>
      </x:c>
      <x:c r="C48" t="str">
        <x:f>'Katalog kart'!D48</x:f>
        <x:v>Koszmar Błyskawic</x:v>
      </x:c>
      <x:c r="D48" t="str">
        <x:f>'Katalog kart'!B48</x:f>
        <x:v>Przy śmierci</x:v>
      </x:c>
      <x:c r="E48" t="str">
        <x:f>'Katalog kart'!C48</x:f>
        <x:v>Szybki atak</x:v>
      </x:c>
      <x:c r="F48" t="n">
        <x:f>'Katalog kart'!E48</x:f>
        <x:v>2</x:v>
      </x:c>
      <x:c r="G48" t="n">
        <x:f>'Katalog kart'!F48</x:f>
        <x:v>4</x:v>
      </x:c>
      <x:c r="H48" t="n">
        <x:f>'Balans — VP3'!H62*'Kalibracja — parametry'!$B$9+'Balans — VP3'!J62</x:f>
        <x:v>8</x:v>
      </x:c>
      <x:c r="I48" t="n">
        <x:f>'Balans — VP3'!I62*'Kalibracja — parametry'!$B$9+'Balans — VP3'!K62</x:f>
        <x:v>1</x:v>
      </x:c>
      <x:c r="J48" s="207" t="n">
        <x:v>1</x:v>
      </x:c>
      <x:c r="K48" s="207" t="n">
        <x:v>0</x:v>
      </x:c>
      <x:c r="L48" s="180" t="n">
        <x:f>IFERROR(VLOOKUP(E48,'Kalibracja — parametry'!$A$18:$G$31,2,FALSE),0)</x:f>
        <x:v>1.8</x:v>
      </x:c>
      <x:c r="M48" s="180" t="n">
        <x:f>IFERROR(VLOOKUP(E48,'Kalibracja — parametry'!$A$18:$G$31,3,FALSE),0)</x:f>
        <x:v>0.58</x:v>
      </x:c>
      <x:c r="N48" s="180" t="n">
        <x:f>IFERROR(VLOOKUP(E48,'Kalibracja — parametry'!$A$18:$G$31,4,FALSE),0)</x:f>
        <x:v>0.37</x:v>
      </x:c>
      <x:c r="O48" s="180" t="n">
        <x:f>IFERROR(VLOOKUP(D48,'Kalibracja — parametry'!$A$35:$D$39,2,FALSE),0)</x:f>
        <x:v>0.6</x:v>
      </x:c>
      <x:c r="P48" s="180" t="n">
        <x:f>M48*IF(O48&lt;=1,O48,1+(O48-1)*N48)</x:f>
        <x:v>0.348</x:v>
      </x:c>
      <x:c r="Q48" s="205" t="n">
        <x:f>'Kalibracja — parametry'!$B$6*F48+'Kalibracja — parametry'!$B$7*G48+'Kalibracja — parametry'!$B$8*J48*L48*P48</x:f>
        <x:v>4.4264</x:v>
      </x:c>
      <x:c r="R48" s="205" t="n">
        <x:f>'Kalibracja — parametry'!$B$6*(F48+H48)+'Kalibracja — parametry'!$B$7*(G48+I48)+'Kalibracja — parametry'!$B$8*(J48+K48)*L48*P48</x:f>
        <x:v>12.8764</x:v>
      </x:c>
      <x:c r="S48" s="205" t="n">
        <x:f>Q48+R48</x:f>
        <x:v>17.3028</x:v>
      </x:c>
      <x:c r="T48" s="181" t="n">
        <x:f>IFERROR(S48/'Kalibracja — parametry'!$B$10-1,0)</x:f>
        <x:v>-0.003375303834944332</x:v>
      </x:c>
      <x:c r="U48" t="str">
        <x:f>IF(T48&gt;'Kalibracja — parametry'!$B$11,"WYSOKA",IF(T48&lt; -'Kalibracja — parametry'!$B$11,"NISKA","W PASMIE"))</x:f>
        <x:v>W PASMIE</x:v>
      </x:c>
      <x:c r="V48" s="91" t="str">
        <x:v>—</x:v>
      </x:c>
      <x:c r="W48" t="str">
        <x:v>Premia co 3T jest w statystykach, nie w liczbie ładunków/ataków.</x:v>
      </x:c>
      <x:c r="X48" t="str">
        <x:v>Jeden status lub możliwość</x:v>
      </x:c>
      <x:c r="Y48" s="180" t="n">
        <x:f>R48/(1+'Kalibracja — parametry'!$B$12)^'Kalibracja — parametry'!$B$9</x:f>
        <x:v>8.249364467587847</x:v>
      </x:c>
      <x:c r="Z48" s="181" t="n">
        <x:f>IFERROR(Y48/Q48-1,0)</x:f>
        <x:v>0.8636735196972365</x:v>
      </x:c>
    </x:row>
    <x:row r="49">
      <x:c r="A49" t="str">
        <x:f>'Katalog kart'!A49</x:f>
        <x:v>S91</x:v>
      </x:c>
      <x:c r="B49" t="str">
        <x:f>'Katalog kart'!M49</x:f>
        <x:v>Potwory</x:v>
      </x:c>
      <x:c r="C49" t="str">
        <x:f>'Katalog kart'!D49</x:f>
        <x:v>Dwuszczęki Horror</x:v>
      </x:c>
      <x:c r="D49" t="str">
        <x:f>'Katalog kart'!B49</x:f>
        <x:v>Przy śmierci</x:v>
      </x:c>
      <x:c r="E49" t="str">
        <x:f>'Katalog kart'!C49</x:f>
        <x:v>Podwójny atak</x:v>
      </x:c>
      <x:c r="F49" t="n">
        <x:f>'Katalog kart'!E49</x:f>
        <x:v>1</x:v>
      </x:c>
      <x:c r="G49" t="n">
        <x:f>'Katalog kart'!F49</x:f>
        <x:v>5</x:v>
      </x:c>
      <x:c r="H49" t="n">
        <x:f>'Balans — VP3'!H63*'Kalibracja — parametry'!$B$9+'Balans — VP3'!J63</x:f>
        <x:v>8</x:v>
      </x:c>
      <x:c r="I49" t="n">
        <x:f>'Balans — VP3'!I63*'Kalibracja — parametry'!$B$9+'Balans — VP3'!K63</x:f>
        <x:v>0</x:v>
      </x:c>
      <x:c r="J49" s="207" t="n">
        <x:v>1</x:v>
      </x:c>
      <x:c r="K49" s="207" t="n">
        <x:v>0</x:v>
      </x:c>
      <x:c r="L49" s="180" t="n">
        <x:f>IFERROR(VLOOKUP(E49,'Kalibracja — parametry'!$A$18:$G$31,2,FALSE),0)</x:f>
        <x:v>2.55</x:v>
      </x:c>
      <x:c r="M49" s="180" t="n">
        <x:f>IFERROR(VLOOKUP(E49,'Kalibracja — parametry'!$A$18:$G$31,3,FALSE),0)</x:f>
        <x:v>0.68</x:v>
      </x:c>
      <x:c r="N49" s="180" t="n">
        <x:f>IFERROR(VLOOKUP(E49,'Kalibracja — parametry'!$A$18:$G$31,4,FALSE),0)</x:f>
        <x:v>0.53</x:v>
      </x:c>
      <x:c r="O49" s="180" t="n">
        <x:f>IFERROR(VLOOKUP(D49,'Kalibracja — parametry'!$A$35:$D$39,2,FALSE),0)</x:f>
        <x:v>0.6</x:v>
      </x:c>
      <x:c r="P49" s="180" t="n">
        <x:f>M49*IF(O49&lt;=1,O49,1+(O49-1)*N49)</x:f>
        <x:v>0.40800000000000003</x:v>
      </x:c>
      <x:c r="Q49" s="205" t="n">
        <x:f>'Kalibracja — parametry'!$B$6*F49+'Kalibracja — parametry'!$B$7*G49+'Kalibracja — parametry'!$B$8*J49*L49*P49</x:f>
        <x:v>4.2904</x:v>
      </x:c>
      <x:c r="R49" s="205" t="n">
        <x:f>'Kalibracja — parametry'!$B$6*(F49+H49)+'Kalibracja — parametry'!$B$7*(G49+I49)+'Kalibracja — parametry'!$B$8*(J49+K49)*L49*P49</x:f>
        <x:v>12.2904</x:v>
      </x:c>
      <x:c r="S49" s="205" t="n">
        <x:f>Q49+R49</x:f>
        <x:v>16.5808</x:v>
      </x:c>
      <x:c r="T49" s="181" t="n">
        <x:f>IFERROR(S49/'Kalibracja — parametry'!$B$10-1,0)</x:f>
        <x:v>-0.044961811835451226</x:v>
      </x:c>
      <x:c r="U49" t="str">
        <x:f>IF(T49&gt;'Kalibracja — parametry'!$B$11,"WYSOKA",IF(T49&lt; -'Kalibracja — parametry'!$B$11,"NISKA","W PASMIE"))</x:f>
        <x:v>W PASMIE</x:v>
      </x:c>
      <x:c r="V49" s="91" t="str">
        <x:v>—</x:v>
      </x:c>
      <x:c r="W49" t="str">
        <x:v>Premia co 3T jest w statystykach, nie w liczbie ładunków/ataków.</x:v>
      </x:c>
      <x:c r="X49" t="str">
        <x:v>Jeden status lub możliwość</x:v>
      </x:c>
      <x:c r="Y49" s="180" t="n">
        <x:f>R49/(1+'Kalibracja — parametry'!$B$12)^'Kalibracja — parametry'!$B$9</x:f>
        <x:v>7.873939070892616</x:v>
      </x:c>
      <x:c r="Z49" s="181" t="n">
        <x:f>IFERROR(Y49/Q49-1,0)</x:f>
        <x:v>0.83524591434193</x:v>
      </x:c>
    </x:row>
    <x:row r="50">
      <x:c r="A50" t="str">
        <x:f>'Katalog kart'!A50</x:f>
        <x:v>S27</x:v>
      </x:c>
      <x:c r="B50" t="str">
        <x:f>'Katalog kart'!M50</x:f>
        <x:v>Krasnoludy</x:v>
      </x:c>
      <x:c r="C50" t="str">
        <x:f>'Katalog kart'!D50</x:f>
        <x:v>Kusznik Runiczny</x:v>
      </x:c>
      <x:c r="D50" t="str">
        <x:f>'Katalog kart'!B50</x:f>
        <x:v>Na koniec tury</x:v>
      </x:c>
      <x:c r="E50" t="str">
        <x:f>'Katalog kart'!C50</x:f>
        <x:v>Obrażenia</x:v>
      </x:c>
      <x:c r="F50" t="n">
        <x:f>'Katalog kart'!E50</x:f>
        <x:v>1</x:v>
      </x:c>
      <x:c r="G50" t="n">
        <x:f>'Katalog kart'!F50</x:f>
        <x:v>6</x:v>
      </x:c>
      <x:c r="H50" t="n">
        <x:f>'Balans — VP3'!H64*'Kalibracja — parametry'!$B$9+'Balans — VP3'!J64</x:f>
        <x:v>3</x:v>
      </x:c>
      <x:c r="I50" t="n">
        <x:f>'Balans — VP3'!I64*'Kalibracja — parametry'!$B$9+'Balans — VP3'!K64</x:f>
        <x:v>3</x:v>
      </x:c>
      <x:c r="J50" s="207" t="n">
        <x:v>1</x:v>
      </x:c>
      <x:c r="K50" s="207" t="n">
        <x:v>1</x:v>
      </x:c>
      <x:c r="L50" s="180" t="n">
        <x:f>IFERROR(VLOOKUP(E50,'Kalibracja — parametry'!$A$18:$G$31,2,FALSE),0)</x:f>
        <x:v>1</x:v>
      </x:c>
      <x:c r="M50" s="180" t="n">
        <x:f>IFERROR(VLOOKUP(E50,'Kalibracja — parametry'!$A$18:$G$31,3,FALSE),0)</x:f>
        <x:v>0.9</x:v>
      </x:c>
      <x:c r="N50" s="180" t="n">
        <x:f>IFERROR(VLOOKUP(E50,'Kalibracja — parametry'!$A$18:$G$31,4,FALSE),0)</x:f>
        <x:v>0.95</x:v>
      </x:c>
      <x:c r="O50" s="180" t="n">
        <x:f>IFERROR(VLOOKUP(D50,'Kalibracja — parametry'!$A$35:$D$39,2,FALSE),0)</x:f>
        <x:v>2.5</x:v>
      </x:c>
      <x:c r="P50" s="180" t="n">
        <x:f>M50*IF(O50&lt;=1,O50,1+(O50-1)*N50)</x:f>
        <x:v>2.1825</x:v>
      </x:c>
      <x:c r="Q50" s="205" t="n">
        <x:f>'Kalibracja — parametry'!$B$6*F50+'Kalibracja — parametry'!$B$7*G50+'Kalibracja — parametry'!$B$8*J50*L50*P50</x:f>
        <x:v>5.8825</x:v>
      </x:c>
      <x:c r="R50" s="205" t="n">
        <x:f>'Kalibracja — parametry'!$B$6*(F50+H50)+'Kalibracja — parametry'!$B$7*(G50+I50)+'Kalibracja — parametry'!$B$8*(J50+K50)*L50*P50</x:f>
        <x:v>12.415000000000001</x:v>
      </x:c>
      <x:c r="S50" s="205" t="n">
        <x:f>Q50+R50</x:f>
        <x:v>18.2975</x:v>
      </x:c>
      <x:c r="T50" s="181" t="n">
        <x:f>IFERROR(S50/'Kalibracja — parametry'!$B$10-1,0)</x:f>
        <x:v>0.05391846279677881</x:v>
      </x:c>
      <x:c r="U50" t="str">
        <x:f>IF(T50&gt;'Kalibracja — parametry'!$B$11,"WYSOKA",IF(T50&lt; -'Kalibracja — parametry'!$B$11,"NISKA","W PASMIE"))</x:f>
        <x:v>W PASMIE</x:v>
      </x:c>
      <x:c r="V50" s="91" t="str">
        <x:v>—</x:v>
      </x:c>
      <x:c r="W50" t="str"/>
      <x:c r="X50" t="str">
        <x:v>Suma obrażeń / leczenia / pancerza</x:v>
      </x:c>
      <x:c r="Y50" s="180" t="n">
        <x:f>R50/(1+'Kalibracja — parametry'!$B$12)^'Kalibracja — parametry'!$B$9</x:f>
        <x:v>7.953765017015869</x:v>
      </x:c>
      <x:c r="Z50" s="181" t="n">
        <x:f>IFERROR(Y50/Q50-1,0)</x:f>
        <x:v>0.3521062502364418</x:v>
      </x:c>
    </x:row>
    <x:row r="51">
      <x:c r="A51" t="str">
        <x:f>'Katalog kart'!A51</x:f>
        <x:v>S25</x:v>
      </x:c>
      <x:c r="B51" t="str">
        <x:f>'Katalog kart'!M51</x:f>
        <x:v>Krasnoludy</x:v>
      </x:c>
      <x:c r="C51" t="str">
        <x:f>'Katalog kart'!D51</x:f>
        <x:v>Medyk Górniczy</x:v>
      </x:c>
      <x:c r="D51" t="str">
        <x:f>'Katalog kart'!B51</x:f>
        <x:v>Na koniec tury</x:v>
      </x:c>
      <x:c r="E51" t="str">
        <x:f>'Katalog kart'!C51</x:f>
        <x:v>Leczenie</x:v>
      </x:c>
      <x:c r="F51" t="n">
        <x:f>'Katalog kart'!E51</x:f>
        <x:v>2</x:v>
      </x:c>
      <x:c r="G51" t="n">
        <x:f>'Katalog kart'!F51</x:f>
        <x:v>7</x:v>
      </x:c>
      <x:c r="H51" t="n">
        <x:f>'Balans — VP3'!H65*'Kalibracja — parametry'!$B$9+'Balans — VP3'!J65</x:f>
        <x:v>0</x:v>
      </x:c>
      <x:c r="I51" t="n">
        <x:f>'Balans — VP3'!I65*'Kalibracja — parametry'!$B$9+'Balans — VP3'!K65</x:f>
        <x:v>6</x:v>
      </x:c>
      <x:c r="J51" s="207" t="n">
        <x:v>2</x:v>
      </x:c>
      <x:c r="K51" s="207" t="n">
        <x:v>1</x:v>
      </x:c>
      <x:c r="L51" s="180" t="n">
        <x:f>IFERROR(VLOOKUP(E51,'Kalibracja — parametry'!$A$18:$G$31,2,FALSE),0)</x:f>
        <x:v>0.66</x:v>
      </x:c>
      <x:c r="M51" s="180" t="n">
        <x:f>IFERROR(VLOOKUP(E51,'Kalibracja — parametry'!$A$18:$G$31,3,FALSE),0)</x:f>
        <x:v>0.72</x:v>
      </x:c>
      <x:c r="N51" s="180" t="n">
        <x:f>IFERROR(VLOOKUP(E51,'Kalibracja — parametry'!$A$18:$G$31,4,FALSE),0)</x:f>
        <x:v>0.82</x:v>
      </x:c>
      <x:c r="O51" s="180" t="n">
        <x:f>IFERROR(VLOOKUP(D51,'Kalibracja — parametry'!$A$35:$D$39,2,FALSE),0)</x:f>
        <x:v>2.5</x:v>
      </x:c>
      <x:c r="P51" s="180" t="n">
        <x:f>M51*IF(O51&lt;=1,O51,1+(O51-1)*N51)</x:f>
        <x:v>1.6056</x:v>
      </x:c>
      <x:c r="Q51" s="205" t="n">
        <x:f>'Kalibracja — parametry'!$B$6*F51+'Kalibracja — parametry'!$B$7*G51+'Kalibracja — parametry'!$B$8*J51*L51*P51</x:f>
        <x:v>7.269392</x:v>
      </x:c>
      <x:c r="R51" s="205" t="n">
        <x:f>'Kalibracja — parametry'!$B$6*(F51+H51)+'Kalibracja — parametry'!$B$7*(G51+I51)+'Kalibracja — parametry'!$B$8*(J51+K51)*L51*P51</x:f>
        <x:v>11.029088</x:v>
      </x:c>
      <x:c r="S51" s="205" t="n">
        <x:f>Q51+R51</x:f>
        <x:v>18.298479999999998</x:v>
      </x:c>
      <x:c r="T51" s="181" t="n">
        <x:f>IFERROR(S51/'Kalibracja — parametry'!$B$10-1,0)</x:f>
        <x:v>0.05397490985749975</x:v>
      </x:c>
      <x:c r="U51" t="str">
        <x:f>IF(T51&gt;'Kalibracja — parametry'!$B$11,"WYSOKA",IF(T51&lt; -'Kalibracja — parametry'!$B$11,"NISKA","W PASMIE"))</x:f>
        <x:v>W PASMIE</x:v>
      </x:c>
      <x:c r="V51" s="91" t="str">
        <x:v>—</x:v>
      </x:c>
      <x:c r="W51" t="str"/>
      <x:c r="X51" t="str">
        <x:v>Suma obrażeń / leczenia / pancerza</x:v>
      </x:c>
      <x:c r="Y51" s="180" t="n">
        <x:f>R51/(1+'Kalibracja — parametry'!$B$12)^'Kalibracja — parametry'!$B$9</x:f>
        <x:v>7.065869859362828</x:v>
      </x:c>
      <x:c r="Z51" s="181" t="n">
        <x:f>IFERROR(Y51/Q51-1,0)</x:f>
        <x:v>-0.027997133823182363</x:v>
      </x:c>
    </x:row>
    <x:row r="52">
      <x:c r="A52" t="str">
        <x:f>'Katalog kart'!A52</x:f>
        <x:v>S28</x:v>
      </x:c>
      <x:c r="B52" t="str">
        <x:f>'Katalog kart'!M52</x:f>
        <x:v>Krasnoludy</x:v>
      </x:c>
      <x:c r="C52" t="str">
        <x:f>'Katalog kart'!D52</x:f>
        <x:v>Mistrz Run Bitewnych</x:v>
      </x:c>
      <x:c r="D52" t="str">
        <x:f>'Katalog kart'!B52</x:f>
        <x:v>Na koniec tury</x:v>
      </x:c>
      <x:c r="E52" t="str">
        <x:f>'Katalog kart'!C52</x:f>
        <x:v>ATK ±</x:v>
      </x:c>
      <x:c r="F52" t="n">
        <x:f>'Katalog kart'!E52</x:f>
        <x:v>1</x:v>
      </x:c>
      <x:c r="G52" t="n">
        <x:f>'Katalog kart'!F52</x:f>
        <x:v>5</x:v>
      </x:c>
      <x:c r="H52" t="n">
        <x:f>'Balans — VP3'!H66*'Kalibracja — parametry'!$B$9+'Balans — VP3'!J66</x:f>
        <x:v>6</x:v>
      </x:c>
      <x:c r="I52" t="n">
        <x:f>'Balans — VP3'!I66*'Kalibracja — parametry'!$B$9+'Balans — VP3'!K66</x:f>
        <x:v>0</x:v>
      </x:c>
      <x:c r="J52" s="207" t="n">
        <x:v>1</x:v>
      </x:c>
      <x:c r="K52" s="207" t="n">
        <x:v>1</x:v>
      </x:c>
      <x:c r="L52" s="180" t="n">
        <x:f>IFERROR(VLOOKUP(E52,'Kalibracja — parametry'!$A$18:$G$31,2,FALSE),0)</x:f>
        <x:v>1.05</x:v>
      </x:c>
      <x:c r="M52" s="180" t="n">
        <x:f>IFERROR(VLOOKUP(E52,'Kalibracja — parametry'!$A$18:$G$31,3,FALSE),0)</x:f>
        <x:v>0.8</x:v>
      </x:c>
      <x:c r="N52" s="180" t="n">
        <x:f>IFERROR(VLOOKUP(E52,'Kalibracja — parametry'!$A$18:$G$31,4,FALSE),0)</x:f>
        <x:v>0.72</x:v>
      </x:c>
      <x:c r="O52" s="180" t="n">
        <x:f>IFERROR(VLOOKUP(D52,'Kalibracja — parametry'!$A$35:$D$39,2,FALSE),0)</x:f>
        <x:v>2.5</x:v>
      </x:c>
      <x:c r="P52" s="180" t="n">
        <x:f>M52*IF(O52&lt;=1,O52,1+(O52-1)*N52)</x:f>
        <x:v>1.6640000000000001</x:v>
      </x:c>
      <x:c r="Q52" s="205" t="n">
        <x:f>'Kalibracja — parametry'!$B$6*F52+'Kalibracja — parametry'!$B$7*G52+'Kalibracja — parametry'!$B$8*J52*L52*P52</x:f>
        <x:v>4.9972</x:v>
      </x:c>
      <x:c r="R52" s="205" t="n">
        <x:f>'Kalibracja — parametry'!$B$6*(F52+H52)+'Kalibracja — parametry'!$B$7*(G52+I52)+'Kalibracja — parametry'!$B$8*(J52+K52)*L52*P52</x:f>
        <x:v>12.7444</x:v>
      </x:c>
      <x:c r="S52" s="205" t="n">
        <x:f>Q52+R52</x:f>
        <x:v>17.741600000000002</x:v>
      </x:c>
      <x:c r="T52" s="181" t="n">
        <x:f>IFERROR(S52/'Kalibracja — parametry'!$B$10-1,0)</x:f>
        <x:v>0.02189915559805078</x:v>
      </x:c>
      <x:c r="U52" t="str">
        <x:f>IF(T52&gt;'Kalibracja — parametry'!$B$11,"WYSOKA",IF(T52&lt; -'Kalibracja — parametry'!$B$11,"NISKA","W PASMIE"))</x:f>
        <x:v>W PASMIE</x:v>
      </x:c>
      <x:c r="V52" s="91" t="str">
        <x:v>—</x:v>
      </x:c>
      <x:c r="W52" t="str"/>
      <x:c r="X52" t="str">
        <x:v>Punkty ATK/MAX HP przy aktywacji</x:v>
      </x:c>
      <x:c r="Y52" s="180" t="n">
        <x:f>R52/(1+'Kalibracja — parametry'!$B$12)^'Kalibracja — parametry'!$B$9</x:f>
        <x:v>8.16479765468039</x:v>
      </x:c>
      <x:c r="Z52" s="181" t="n">
        <x:f>IFERROR(Y52/Q52-1,0)</x:f>
        <x:v>0.6338745006564455</x:v>
      </x:c>
    </x:row>
    <x:row r="53">
      <x:c r="A53" t="str">
        <x:f>'Katalog kart'!A53</x:f>
        <x:v>S93</x:v>
      </x:c>
      <x:c r="B53" t="str">
        <x:f>'Katalog kart'!M53</x:f>
        <x:v>Krasnoludy</x:v>
      </x:c>
      <x:c r="C53" t="str">
        <x:f>'Katalog kart'!D53</x:f>
        <x:v>Kowal Życiostali</x:v>
      </x:c>
      <x:c r="D53" t="str">
        <x:f>'Katalog kart'!B53</x:f>
        <x:v>Na koniec tury</x:v>
      </x:c>
      <x:c r="E53" t="str">
        <x:f>'Katalog kart'!C53</x:f>
        <x:v>MAX HP ±</x:v>
      </x:c>
      <x:c r="F53" t="n">
        <x:f>'Katalog kart'!E53</x:f>
        <x:v>3</x:v>
      </x:c>
      <x:c r="G53" t="n">
        <x:f>'Katalog kart'!F53</x:f>
        <x:v>6</x:v>
      </x:c>
      <x:c r="H53" t="n">
        <x:f>'Balans — VP3'!H67*'Kalibracja — parametry'!$B$9+'Balans — VP3'!J67</x:f>
        <x:v>0</x:v>
      </x:c>
      <x:c r="I53" t="n">
        <x:f>'Balans — VP3'!I67*'Kalibracja — parametry'!$B$9+'Balans — VP3'!K67</x:f>
        <x:v>6</x:v>
      </x:c>
      <x:c r="J53" s="207" t="n">
        <x:v>1</x:v>
      </x:c>
      <x:c r="K53" s="207" t="n">
        <x:v>1</x:v>
      </x:c>
      <x:c r="L53" s="180" t="n">
        <x:f>IFERROR(VLOOKUP(E53,'Kalibracja — parametry'!$A$18:$G$31,2,FALSE),0)</x:f>
        <x:v>0.52</x:v>
      </x:c>
      <x:c r="M53" s="180" t="n">
        <x:f>IFERROR(VLOOKUP(E53,'Kalibracja — parametry'!$A$18:$G$31,3,FALSE),0)</x:f>
        <x:v>0.8</x:v>
      </x:c>
      <x:c r="N53" s="180" t="n">
        <x:f>IFERROR(VLOOKUP(E53,'Kalibracja — parametry'!$A$18:$G$31,4,FALSE),0)</x:f>
        <x:v>0.72</x:v>
      </x:c>
      <x:c r="O53" s="180" t="n">
        <x:f>IFERROR(VLOOKUP(D53,'Kalibracja — parametry'!$A$35:$D$39,2,FALSE),0)</x:f>
        <x:v>2.5</x:v>
      </x:c>
      <x:c r="P53" s="180" t="n">
        <x:f>M53*IF(O53&lt;=1,O53,1+(O53-1)*N53)</x:f>
        <x:v>1.6640000000000001</x:v>
      </x:c>
      <x:c r="Q53" s="205" t="n">
        <x:f>'Kalibracja — parametry'!$B$6*F53+'Kalibracja — parametry'!$B$7*G53+'Kalibracja — parametry'!$B$8*J53*L53*P53</x:f>
        <x:v>6.5652800000000004</x:v>
      </x:c>
      <x:c r="R53" s="205" t="n">
        <x:f>'Kalibracja — parametry'!$B$6*(F53+H53)+'Kalibracja — parametry'!$B$7*(G53+I53)+'Kalibracja — parametry'!$B$8*(J53+K53)*L53*P53</x:f>
        <x:v>10.130560000000001</x:v>
      </x:c>
      <x:c r="S53" s="205" t="n">
        <x:f>Q53+R53</x:f>
        <x:v>16.69584</x:v>
      </x:c>
      <x:c r="T53" s="181" t="n">
        <x:f>IFERROR(S53/'Kalibracja — parametry'!$B$10-1,0)</x:f>
        <x:v>-0.03833561809531505</x:v>
      </x:c>
      <x:c r="U53" t="str">
        <x:f>IF(T53&gt;'Kalibracja — parametry'!$B$11,"WYSOKA",IF(T53&lt; -'Kalibracja — parametry'!$B$11,"NISKA","W PASMIE"))</x:f>
        <x:v>W PASMIE</x:v>
      </x:c>
      <x:c r="V53" s="91" t="str">
        <x:v>—</x:v>
      </x:c>
      <x:c r="W53" t="str"/>
      <x:c r="X53" t="str">
        <x:v>Punkty ATK/MAX HP przy aktywacji</x:v>
      </x:c>
      <x:c r="Y53" s="180" t="n">
        <x:f>R53/(1+'Kalibracja — parametry'!$B$12)^'Kalibracja — parametry'!$B$9</x:f>
        <x:v>6.490221001271066</x:v>
      </x:c>
      <x:c r="Z53" s="181" t="n">
        <x:f>IFERROR(Y53/Q53-1,0)</x:f>
        <x:v>-0.01143271859371342</x:v>
      </x:c>
    </x:row>
    <x:row r="54">
      <x:c r="A54" t="str">
        <x:f>'Katalog kart'!A54</x:f>
        <x:v>S26</x:v>
      </x:c>
      <x:c r="B54" t="str">
        <x:f>'Katalog kart'!M54</x:f>
        <x:v>Krasnoludy</x:v>
      </x:c>
      <x:c r="C54" t="str">
        <x:f>'Katalog kart'!D54</x:f>
        <x:v>Kowal Żelaznej Kuźni</x:v>
      </x:c>
      <x:c r="D54" t="str">
        <x:f>'Katalog kart'!B54</x:f>
        <x:v>Na koniec tury</x:v>
      </x:c>
      <x:c r="E54" t="str">
        <x:f>'Katalog kart'!C54</x:f>
        <x:v>Pancerz</x:v>
      </x:c>
      <x:c r="F54" t="n">
        <x:f>'Katalog kart'!E54</x:f>
        <x:v>2</x:v>
      </x:c>
      <x:c r="G54" t="n">
        <x:f>'Katalog kart'!F54</x:f>
        <x:v>6</x:v>
      </x:c>
      <x:c r="H54" t="n">
        <x:f>'Balans — VP3'!H68*'Kalibracja — parametry'!$B$9+'Balans — VP3'!J68</x:f>
        <x:v>0</x:v>
      </x:c>
      <x:c r="I54" t="n">
        <x:f>'Balans — VP3'!I68*'Kalibracja — parametry'!$B$9+'Balans — VP3'!K68</x:f>
        <x:v>6</x:v>
      </x:c>
      <x:c r="J54" s="207" t="n">
        <x:v>2</x:v>
      </x:c>
      <x:c r="K54" s="207" t="n">
        <x:v>1</x:v>
      </x:c>
      <x:c r="L54" s="180" t="n">
        <x:f>IFERROR(VLOOKUP(E54,'Kalibracja — parametry'!$A$18:$G$31,2,FALSE),0)</x:f>
        <x:v>0.55</x:v>
      </x:c>
      <x:c r="M54" s="180" t="n">
        <x:f>IFERROR(VLOOKUP(E54,'Kalibracja — parametry'!$A$18:$G$31,3,FALSE),0)</x:f>
        <x:v>0.76</x:v>
      </x:c>
      <x:c r="N54" s="180" t="n">
        <x:f>IFERROR(VLOOKUP(E54,'Kalibracja — parametry'!$A$18:$G$31,4,FALSE),0)</x:f>
        <x:v>0.64</x:v>
      </x:c>
      <x:c r="O54" s="180" t="n">
        <x:f>IFERROR(VLOOKUP(D54,'Kalibracja — parametry'!$A$35:$D$39,2,FALSE),0)</x:f>
        <x:v>2.5</x:v>
      </x:c>
      <x:c r="P54" s="180" t="n">
        <x:f>M54*IF(O54&lt;=1,O54,1+(O54-1)*N54)</x:f>
        <x:v>1.4896</x:v>
      </x:c>
      <x:c r="Q54" s="205" t="n">
        <x:f>'Kalibracja — parametry'!$B$6*F54+'Kalibracja — parametry'!$B$7*G54+'Kalibracja — parametry'!$B$8*J54*L54*P54</x:f>
        <x:v>6.33856</x:v>
      </x:c>
      <x:c r="R54" s="205" t="n">
        <x:f>'Kalibracja — parametry'!$B$6*(F54+H54)+'Kalibracja — parametry'!$B$7*(G54+I54)+'Kalibracja — parametry'!$B$8*(J54+K54)*L54*P54</x:f>
        <x:v>9.857840000000001</x:v>
      </x:c>
      <x:c r="S54" s="205" t="n">
        <x:f>Q54+R54</x:f>
        <x:v>16.1964</x:v>
      </x:c>
      <x:c r="T54" s="181" t="n">
        <x:f>IFERROR(S54/'Kalibracja — parametry'!$B$10-1,0)</x:f>
        <x:v>-0.06710288340802029</x:v>
      </x:c>
      <x:c r="U54" t="str">
        <x:f>IF(T54&gt;'Kalibracja — parametry'!$B$11,"WYSOKA",IF(T54&lt; -'Kalibracja — parametry'!$B$11,"NISKA","W PASMIE"))</x:f>
        <x:v>W PASMIE</x:v>
      </x:c>
      <x:c r="V54" s="91" t="str">
        <x:v>—</x:v>
      </x:c>
      <x:c r="W54" t="str"/>
      <x:c r="X54" t="str">
        <x:v>Suma obrażeń / leczenia / pancerza</x:v>
      </x:c>
      <x:c r="Y54" s="180" t="n">
        <x:f>R54/(1+'Kalibracja — parametry'!$B$12)^'Kalibracja — parametry'!$B$9</x:f>
        <x:v>6.315500840542869</x:v>
      </x:c>
      <x:c r="Z54" s="181" t="n">
        <x:f>IFERROR(Y54/Q54-1,0)</x:f>
        <x:v>-0.003637917674855329</x:v>
      </x:c>
    </x:row>
    <x:row r="55">
      <x:c r="A55" t="str">
        <x:f>'Katalog kart'!A55</x:f>
        <x:v>S94</x:v>
      </x:c>
      <x:c r="B55" t="str">
        <x:f>'Katalog kart'!M55</x:f>
        <x:v>Krasnoludy</x:v>
      </x:c>
      <x:c r="C55" t="str">
        <x:f>'Katalog kart'!D55</x:f>
        <x:v>Mistrz Tarczy</x:v>
      </x:c>
      <x:c r="D55" t="str">
        <x:f>'Katalog kart'!B55</x:f>
        <x:v>Na koniec tury</x:v>
      </x:c>
      <x:c r="E55" t="str">
        <x:f>'Katalog kart'!C55</x:f>
        <x:v>Tarcza</x:v>
      </x:c>
      <x:c r="F55" t="n">
        <x:f>'Katalog kart'!E55</x:f>
        <x:v>1</x:v>
      </x:c>
      <x:c r="G55" t="n">
        <x:f>'Katalog kart'!F55</x:f>
        <x:v>8</x:v>
      </x:c>
      <x:c r="H55" t="n">
        <x:f>'Balans — VP3'!H69*'Kalibracja — parametry'!$B$9+'Balans — VP3'!J69</x:f>
        <x:v>0</x:v>
      </x:c>
      <x:c r="I55" t="n">
        <x:f>'Balans — VP3'!I69*'Kalibracja — parametry'!$B$9+'Balans — VP3'!K69</x:f>
        <x:v>9</x:v>
      </x:c>
      <x:c r="J55" s="207" t="n">
        <x:v>1</x:v>
      </x:c>
      <x:c r="K55" s="207" t="n">
        <x:v>0</x:v>
      </x:c>
      <x:c r="L55" s="180" t="n">
        <x:f>IFERROR(VLOOKUP(E55,'Kalibracja — parametry'!$A$18:$G$31,2,FALSE),0)</x:f>
        <x:v>2.2</x:v>
      </x:c>
      <x:c r="M55" s="180" t="n">
        <x:f>IFERROR(VLOOKUP(E55,'Kalibracja — parametry'!$A$18:$G$31,3,FALSE),0)</x:f>
        <x:v>0.67</x:v>
      </x:c>
      <x:c r="N55" s="180" t="n">
        <x:f>IFERROR(VLOOKUP(E55,'Kalibracja — parametry'!$A$18:$G$31,4,FALSE),0)</x:f>
        <x:v>0.23</x:v>
      </x:c>
      <x:c r="O55" s="180" t="n">
        <x:f>IFERROR(VLOOKUP(D55,'Kalibracja — parametry'!$A$35:$D$39,2,FALSE),0)</x:f>
        <x:v>2.5</x:v>
      </x:c>
      <x:c r="P55" s="180" t="n">
        <x:f>M55*IF(O55&lt;=1,O55,1+(O55-1)*N55)</x:f>
        <x:v>0.90115</x:v>
      </x:c>
      <x:c r="Q55" s="205" t="n">
        <x:f>'Kalibracja — parametry'!$B$6*F55+'Kalibracja — parametry'!$B$7*G55+'Kalibracja — parametry'!$B$8*J55*L55*P55</x:f>
        <x:v>6.58253</x:v>
      </x:c>
      <x:c r="R55" s="205" t="n">
        <x:f>'Kalibracja — parametry'!$B$6*(F55+H55)+'Kalibracja — parametry'!$B$7*(G55+I55)+'Kalibracja — parametry'!$B$8*(J55+K55)*L55*P55</x:f>
        <x:v>10.632530000000001</x:v>
      </x:c>
      <x:c r="S55" s="205" t="n">
        <x:f>Q55+R55</x:f>
        <x:v>17.21506</x:v>
      </x:c>
      <x:c r="T55" s="181" t="n">
        <x:f>IFERROR(S55/'Kalibracja — parametry'!$B$10-1,0)</x:f>
        <x:v>-0.008429043740712294</x:v>
      </x:c>
      <x:c r="U55" t="str">
        <x:f>IF(T55&gt;'Kalibracja — parametry'!$B$11,"WYSOKA",IF(T55&lt; -'Kalibracja — parametry'!$B$11,"NISKA","W PASMIE"))</x:f>
        <x:v>W PASMIE</x:v>
      </x:c>
      <x:c r="V55" s="91" t="str">
        <x:v>WYSOKIE: ochrona</x:v>
      </x:c>
      <x:c r="W55" t="str">
        <x:v>Wielokrotne przyznawanie tarczy; ocenić po zużyciu.</x:v>
      </x:c>
      <x:c r="X55" t="str">
        <x:v>Jeden status lub możliwość</x:v>
      </x:c>
      <x:c r="Y55" s="180" t="n">
        <x:f>R55/(1+'Kalibracja — parametry'!$B$12)^'Kalibracja — parametry'!$B$9</x:f>
        <x:v>6.811811933658618</x:v>
      </x:c>
      <x:c r="Z55" s="181" t="n">
        <x:f>IFERROR(Y55/Q55-1,0)</x:f>
        <x:v>0.03483188586434349</x:v>
      </x:c>
    </x:row>
    <x:row r="56">
      <x:c r="A56" t="str">
        <x:f>'Katalog kart'!A56</x:f>
        <x:v>S32</x:v>
      </x:c>
      <x:c r="B56" t="str">
        <x:f>'Katalog kart'!M56</x:f>
        <x:v>Krasnoludy</x:v>
      </x:c>
      <x:c r="C56" t="str">
        <x:f>'Katalog kart'!D56</x:f>
        <x:v>Alchemik Kopalnianych Trucizn</x:v>
      </x:c>
      <x:c r="D56" t="str">
        <x:f>'Katalog kart'!B56</x:f>
        <x:v>Na koniec tury</x:v>
      </x:c>
      <x:c r="E56" t="str">
        <x:f>'Katalog kart'!C56</x:f>
        <x:v>Trucizna</x:v>
      </x:c>
      <x:c r="F56" t="n">
        <x:f>'Katalog kart'!E56</x:f>
        <x:v>1</x:v>
      </x:c>
      <x:c r="G56" t="n">
        <x:f>'Katalog kart'!F56</x:f>
        <x:v>5</x:v>
      </x:c>
      <x:c r="H56" t="n">
        <x:f>'Balans — VP3'!H70*'Kalibracja — parametry'!$B$9+'Balans — VP3'!J70</x:f>
        <x:v>6</x:v>
      </x:c>
      <x:c r="I56" t="n">
        <x:f>'Balans — VP3'!I70*'Kalibracja — parametry'!$B$9+'Balans — VP3'!K70</x:f>
        <x:v>0</x:v>
      </x:c>
      <x:c r="J56" s="207" t="n">
        <x:v>2</x:v>
      </x:c>
      <x:c r="K56" s="207" t="n">
        <x:v>1</x:v>
      </x:c>
      <x:c r="L56" s="180" t="n">
        <x:f>IFERROR(VLOOKUP(E56,'Kalibracja — parametry'!$A$18:$G$31,2,FALSE),0)</x:f>
        <x:v>0.78</x:v>
      </x:c>
      <x:c r="M56" s="180" t="n">
        <x:f>IFERROR(VLOOKUP(E56,'Kalibracja — parametry'!$A$18:$G$31,3,FALSE),0)</x:f>
        <x:v>0.72</x:v>
      </x:c>
      <x:c r="N56" s="180" t="n">
        <x:f>IFERROR(VLOOKUP(E56,'Kalibracja — parametry'!$A$18:$G$31,4,FALSE),0)</x:f>
        <x:v>0.55</x:v>
      </x:c>
      <x:c r="O56" s="180" t="n">
        <x:f>IFERROR(VLOOKUP(D56,'Kalibracja — parametry'!$A$35:$D$39,2,FALSE),0)</x:f>
        <x:v>2.5</x:v>
      </x:c>
      <x:c r="P56" s="180" t="n">
        <x:f>M56*IF(O56&lt;=1,O56,1+(O56-1)*N56)</x:f>
        <x:v>1.314</x:v>
      </x:c>
      <x:c r="Q56" s="205" t="n">
        <x:f>'Kalibracja — parametry'!$B$6*F56+'Kalibracja — parametry'!$B$7*G56+'Kalibracja — parametry'!$B$8*J56*L56*P56</x:f>
        <x:v>5.29984</x:v>
      </x:c>
      <x:c r="R56" s="205" t="n">
        <x:f>'Kalibracja — parametry'!$B$6*(F56+H56)+'Kalibracja — parametry'!$B$7*(G56+I56)+'Kalibracja — parametry'!$B$8*(J56+K56)*L56*P56</x:f>
        <x:v>12.32476</x:v>
      </x:c>
      <x:c r="S56" s="205" t="n">
        <x:f>Q56+R56</x:f>
        <x:v>17.6246</x:v>
      </x:c>
      <x:c r="T56" s="181" t="n">
        <x:f>IFERROR(S56/'Kalibracja — parametry'!$B$10-1,0)</x:f>
        <x:v>0.015160067736472715</x:v>
      </x:c>
      <x:c r="U56" t="str">
        <x:f>IF(T56&gt;'Kalibracja — parametry'!$B$11,"WYSOKA",IF(T56&lt; -'Kalibracja — parametry'!$B$11,"NISKA","W PASMIE"))</x:f>
        <x:v>W PASMIE</x:v>
      </x:c>
      <x:c r="V56" s="91" t="str">
        <x:v>—</x:v>
      </x:c>
      <x:c r="W56" t="str"/>
      <x:c r="X56" t="str">
        <x:v>Suma obrażeń / leczenia / pancerza</x:v>
      </x:c>
      <x:c r="Y56" s="180" t="n">
        <x:f>R56/(1+'Kalibracja — parametry'!$B$12)^'Kalibracja — parametry'!$B$9</x:f>
        <x:v>7.895952068555497</x:v>
      </x:c>
      <x:c r="Z56" s="181" t="n">
        <x:f>IFERROR(Y56/Q56-1,0)</x:f>
        <x:v>0.48984725360680637</x:v>
      </x:c>
    </x:row>
    <x:row r="57">
      <x:c r="A57" t="str">
        <x:f>'Katalog kart'!A57</x:f>
        <x:v>S95</x:v>
      </x:c>
      <x:c r="B57" t="str">
        <x:f>'Katalog kart'!M57</x:f>
        <x:v>Krasnoludy</x:v>
      </x:c>
      <x:c r="C57" t="str">
        <x:f>'Katalog kart'!D57</x:f>
        <x:v>Młotnik Wstrząsów</x:v>
      </x:c>
      <x:c r="D57" t="str">
        <x:f>'Katalog kart'!B57</x:f>
        <x:v>Na koniec tury</x:v>
      </x:c>
      <x:c r="E57" t="str">
        <x:f>'Katalog kart'!C57</x:f>
        <x:v>Ogłuszenie</x:v>
      </x:c>
      <x:c r="F57" t="n">
        <x:f>'Katalog kart'!E57</x:f>
        <x:v>1</x:v>
      </x:c>
      <x:c r="G57" t="n">
        <x:f>'Katalog kart'!F57</x:f>
        <x:v>6</x:v>
      </x:c>
      <x:c r="H57" t="n">
        <x:f>'Balans — VP3'!H71*'Kalibracja — parametry'!$B$9+'Balans — VP3'!J71</x:f>
        <x:v>3</x:v>
      </x:c>
      <x:c r="I57" t="n">
        <x:f>'Balans — VP3'!I71*'Kalibracja — parametry'!$B$9+'Balans — VP3'!K71</x:f>
        <x:v>3</x:v>
      </x:c>
      <x:c r="J57" s="207" t="n">
        <x:v>1</x:v>
      </x:c>
      <x:c r="K57" s="207" t="n">
        <x:v>0</x:v>
      </x:c>
      <x:c r="L57" s="180" t="n">
        <x:f>IFERROR(VLOOKUP(E57,'Kalibracja — parametry'!$A$18:$G$31,2,FALSE),0)</x:f>
        <x:v>2.35</x:v>
      </x:c>
      <x:c r="M57" s="180" t="n">
        <x:f>IFERROR(VLOOKUP(E57,'Kalibracja — parametry'!$A$18:$G$31,3,FALSE),0)</x:f>
        <x:v>0.74</x:v>
      </x:c>
      <x:c r="N57" s="180" t="n">
        <x:f>IFERROR(VLOOKUP(E57,'Kalibracja — parametry'!$A$18:$G$31,4,FALSE),0)</x:f>
        <x:v>0.6</x:v>
      </x:c>
      <x:c r="O57" s="180" t="n">
        <x:f>IFERROR(VLOOKUP(D57,'Kalibracja — parametry'!$A$35:$D$39,2,FALSE),0)</x:f>
        <x:v>2.5</x:v>
      </x:c>
      <x:c r="P57" s="180" t="n">
        <x:f>M57*IF(O57&lt;=1,O57,1+(O57-1)*N57)</x:f>
        <x:v>1.406</x:v>
      </x:c>
      <x:c r="Q57" s="205" t="n">
        <x:f>'Kalibracja — parametry'!$B$6*F57+'Kalibracja — parametry'!$B$7*G57+'Kalibracja — parametry'!$B$8*J57*L57*P57</x:f>
        <x:v>7.0041</x:v>
      </x:c>
      <x:c r="R57" s="205" t="n">
        <x:f>'Kalibracja — parametry'!$B$6*(F57+H57)+'Kalibracja — parametry'!$B$7*(G57+I57)+'Kalibracja — parametry'!$B$8*(J57+K57)*L57*P57</x:f>
        <x:v>11.3541</x:v>
      </x:c>
      <x:c r="S57" s="205" t="n">
        <x:f>Q57+R57</x:f>
        <x:v>18.3582</x:v>
      </x:c>
      <x:c r="T57" s="181" t="n">
        <x:f>IFERROR(S57/'Kalibracja — parametry'!$B$10-1,0)</x:f>
        <x:v>0.05741472461898223</x:v>
      </x:c>
      <x:c r="U57" t="str">
        <x:f>IF(T57&gt;'Kalibracja — parametry'!$B$11,"WYSOKA",IF(T57&lt; -'Kalibracja — parametry'!$B$11,"NISKA","W PASMIE"))</x:f>
        <x:v>W PASMIE</x:v>
      </x:c>
      <x:c r="V57" s="91" t="str">
        <x:v>KRYTYCZNE: pętla kontroli</x:v>
      </x:c>
      <x:c r="W57" t="str">
        <x:v>Ogłuszenie co turę może stale blokować tego samego przeciwnika. | ULEPSZENIE PO 3T DO ZDEFINIOWANIA</x:v>
      </x:c>
      <x:c r="X57" t="str">
        <x:v>Jeden status lub możliwość</x:v>
      </x:c>
      <x:c r="Y57" s="180" t="n">
        <x:f>R57/(1+'Kalibracja — parametry'!$B$12)^'Kalibracja — parametry'!$B$9</x:f>
        <x:v>7.27409129115585</x:v>
      </x:c>
      <x:c r="Z57" s="181" t="n">
        <x:f>IFERROR(Y57/Q57-1,0)</x:f>
        <x:v>0.03854760656698919</x:v>
      </x:c>
    </x:row>
    <x:row r="58">
      <x:c r="A58" t="str">
        <x:f>'Katalog kart'!A58</x:f>
        <x:v>S31</x:v>
      </x:c>
      <x:c r="B58" t="str">
        <x:f>'Katalog kart'!M58</x:f>
        <x:v>Krasnoludy</x:v>
      </x:c>
      <x:c r="C58" t="str">
        <x:f>'Katalog kart'!D58</x:f>
        <x:v>Znachor Klanowy</x:v>
      </x:c>
      <x:c r="D58" t="str">
        <x:f>'Katalog kart'!B58</x:f>
        <x:v>Na koniec tury</x:v>
      </x:c>
      <x:c r="E58" t="str">
        <x:f>'Katalog kart'!C58</x:f>
        <x:v>Regeneracja</x:v>
      </x:c>
      <x:c r="F58" t="n">
        <x:f>'Katalog kart'!E58</x:f>
        <x:v>2</x:v>
      </x:c>
      <x:c r="G58" t="n">
        <x:f>'Katalog kart'!F58</x:f>
        <x:v>6</x:v>
      </x:c>
      <x:c r="H58" t="n">
        <x:f>'Balans — VP3'!H72*'Kalibracja — parametry'!$B$9+'Balans — VP3'!J72</x:f>
        <x:v>0</x:v>
      </x:c>
      <x:c r="I58" t="n">
        <x:f>'Balans — VP3'!I72*'Kalibracja — parametry'!$B$9+'Balans — VP3'!K72</x:f>
        <x:v>6</x:v>
      </x:c>
      <x:c r="J58" s="207" t="n">
        <x:v>2</x:v>
      </x:c>
      <x:c r="K58" s="207" t="n">
        <x:v>1</x:v>
      </x:c>
      <x:c r="L58" s="180" t="n">
        <x:f>IFERROR(VLOOKUP(E58,'Kalibracja — parametry'!$A$18:$G$31,2,FALSE),0)</x:f>
        <x:v>0.41</x:v>
      </x:c>
      <x:c r="M58" s="180" t="n">
        <x:f>IFERROR(VLOOKUP(E58,'Kalibracja — parametry'!$A$18:$G$31,3,FALSE),0)</x:f>
        <x:v>0.66</x:v>
      </x:c>
      <x:c r="N58" s="180" t="n">
        <x:f>IFERROR(VLOOKUP(E58,'Kalibracja — parametry'!$A$18:$G$31,4,FALSE),0)</x:f>
        <x:v>0.51</x:v>
      </x:c>
      <x:c r="O58" s="180" t="n">
        <x:f>IFERROR(VLOOKUP(D58,'Kalibracja — parametry'!$A$35:$D$39,2,FALSE),0)</x:f>
        <x:v>2.5</x:v>
      </x:c>
      <x:c r="P58" s="180" t="n">
        <x:f>M58*IF(O58&lt;=1,O58,1+(O58-1)*N58)</x:f>
        <x:v>1.1649</x:v>
      </x:c>
      <x:c r="Q58" s="205" t="n">
        <x:f>'Kalibracja — parametry'!$B$6*F58+'Kalibracja — parametry'!$B$7*G58+'Kalibracja — parametry'!$B$8*J58*L58*P58</x:f>
        <x:v>5.6552180000000005</x:v>
      </x:c>
      <x:c r="R58" s="205" t="n">
        <x:f>'Kalibracja — parametry'!$B$6*(F58+H58)+'Kalibracja — parametry'!$B$7*(G58+I58)+'Kalibracja — parametry'!$B$8*(J58+K58)*L58*P58</x:f>
        <x:v>8.832827</x:v>
      </x:c>
      <x:c r="S58" s="205" t="n">
        <x:f>Q58+R58</x:f>
        <x:v>14.488045</x:v>
      </x:c>
      <x:c r="T58" s="181" t="n">
        <x:f>IFERROR(S58/'Kalibracja — parametry'!$B$10-1,0)</x:f>
        <x:v>-0.16550249403849937</x:v>
      </x:c>
      <x:c r="U58" t="str">
        <x:f>IF(T58&gt;'Kalibracja — parametry'!$B$11,"WYSOKA",IF(T58&lt; -'Kalibracja — parametry'!$B$11,"NISKA","W PASMIE"))</x:f>
        <x:v>NISKA</x:v>
      </x:c>
      <x:c r="V58" s="91" t="str">
        <x:v>—</x:v>
      </x:c>
      <x:c r="W58" t="str"/>
      <x:c r="X58" t="str">
        <x:v>Suma obrażeń / leczenia / pancerza</x:v>
      </x:c>
      <x:c r="Y58" s="180" t="n">
        <x:f>R58/(1+'Kalibracja — parametry'!$B$12)^'Kalibracja — parametry'!$B$9</x:f>
        <x:v>5.658818396613228</x:v>
      </x:c>
      <x:c r="Z58" s="181" t="n">
        <x:f>IFERROR(Y58/Q58-1,0)</x:f>
        <x:v>0.0006366503666572765</x:v>
      </x:c>
    </x:row>
    <x:row r="59">
      <x:c r="A59" t="str">
        <x:f>'Katalog kart'!A59</x:f>
        <x:v>S96</x:v>
      </x:c>
      <x:c r="B59" t="str">
        <x:f>'Katalog kart'!M59</x:f>
        <x:v>Krasnoludy</x:v>
      </x:c>
      <x:c r="C59" t="str">
        <x:f>'Katalog kart'!D59</x:f>
        <x:v>Wartownik Szybu</x:v>
      </x:c>
      <x:c r="D59" t="str">
        <x:f>'Katalog kart'!B59</x:f>
        <x:v>Na koniec tury</x:v>
      </x:c>
      <x:c r="E59" t="str">
        <x:f>'Katalog kart'!C59</x:f>
        <x:v>Prowokacja</x:v>
      </x:c>
      <x:c r="F59" t="n">
        <x:f>'Katalog kart'!E59</x:f>
        <x:v>2</x:v>
      </x:c>
      <x:c r="G59" t="n">
        <x:f>'Katalog kart'!F59</x:f>
        <x:v>8</x:v>
      </x:c>
      <x:c r="H59" t="n">
        <x:f>'Balans — VP3'!H73*'Kalibracja — parametry'!$B$9+'Balans — VP3'!J73</x:f>
        <x:v>0</x:v>
      </x:c>
      <x:c r="I59" t="n">
        <x:f>'Balans — VP3'!I73*'Kalibracja — parametry'!$B$9+'Balans — VP3'!K73</x:f>
        <x:v>9</x:v>
      </x:c>
      <x:c r="J59" s="207" t="n">
        <x:v>1</x:v>
      </x:c>
      <x:c r="K59" s="207" t="n">
        <x:v>0</x:v>
      </x:c>
      <x:c r="L59" s="180" t="n">
        <x:f>IFERROR(VLOOKUP(E59,'Kalibracja — parametry'!$A$18:$G$31,2,FALSE),0)</x:f>
        <x:v>1.4</x:v>
      </x:c>
      <x:c r="M59" s="180" t="n">
        <x:f>IFERROR(VLOOKUP(E59,'Kalibracja — parametry'!$A$18:$G$31,3,FALSE),0)</x:f>
        <x:v>0.68</x:v>
      </x:c>
      <x:c r="N59" s="180" t="n">
        <x:f>IFERROR(VLOOKUP(E59,'Kalibracja — parametry'!$A$18:$G$31,4,FALSE),0)</x:f>
        <x:v>0.38</x:v>
      </x:c>
      <x:c r="O59" s="180" t="n">
        <x:f>IFERROR(VLOOKUP(D59,'Kalibracja — parametry'!$A$35:$D$39,2,FALSE),0)</x:f>
        <x:v>2.5</x:v>
      </x:c>
      <x:c r="P59" s="180" t="n">
        <x:f>M59*IF(O59&lt;=1,O59,1+(O59-1)*N59)</x:f>
        <x:v>1.0676</x:v>
      </x:c>
      <x:c r="Q59" s="205" t="n">
        <x:f>'Kalibracja — parametry'!$B$6*F59+'Kalibracja — parametry'!$B$7*G59+'Kalibracja — parametry'!$B$8*J59*L59*P59</x:f>
        <x:v>7.09464</x:v>
      </x:c>
      <x:c r="R59" s="205" t="n">
        <x:f>'Kalibracja — parametry'!$B$6*(F59+H59)+'Kalibracja — parametry'!$B$7*(G59+I59)+'Kalibracja — parametry'!$B$8*(J59+K59)*L59*P59</x:f>
        <x:v>11.14464</x:v>
      </x:c>
      <x:c r="S59" s="205" t="n">
        <x:f>Q59+R59</x:f>
        <x:v>18.23928</x:v>
      </x:c>
      <x:c r="T59" s="181" t="n">
        <x:f>IFERROR(S59/'Kalibracja — parametry'!$B$10-1,0)</x:f>
        <x:v>0.0505650465976244</x:v>
      </x:c>
      <x:c r="U59" t="str">
        <x:f>IF(T59&gt;'Kalibracja — parametry'!$B$11,"WYSOKA",IF(T59&lt; -'Kalibracja — parametry'!$B$11,"NISKA","W PASMIE"))</x:f>
        <x:v>W PASMIE</x:v>
      </x:c>
      <x:c r="V59" s="91" t="str">
        <x:v>UWAGA: blokada celów</x:v>
      </x:c>
      <x:c r="W59" t="str">
        <x:v>Prowokacja stale kieruje ataki na wybraną jednostkę.</x:v>
      </x:c>
      <x:c r="X59" t="str">
        <x:v>Jeden status lub możliwość</x:v>
      </x:c>
      <x:c r="Y59" s="180" t="n">
        <x:f>R59/(1+'Kalibracja — parametry'!$B$12)^'Kalibracja — parametry'!$B$9</x:f>
        <x:v>7.139899134855879</x:v>
      </x:c>
      <x:c r="Z59" s="181" t="n">
        <x:f>IFERROR(Y59/Q59-1,0)</x:f>
        <x:v>0.006379341989992238</x:v>
      </x:c>
    </x:row>
    <x:row r="60">
      <x:c r="A60" t="str">
        <x:f>'Katalog kart'!A60</x:f>
        <x:v>S97</x:v>
      </x:c>
      <x:c r="B60" t="str">
        <x:f>'Katalog kart'!M60</x:f>
        <x:v>Krasnoludy</x:v>
      </x:c>
      <x:c r="C60" t="str">
        <x:f>'Katalog kart'!D60</x:f>
        <x:v>Czyściciel Run</x:v>
      </x:c>
      <x:c r="D60" t="str">
        <x:f>'Katalog kart'!B60</x:f>
        <x:v>Na koniec tury</x:v>
      </x:c>
      <x:c r="E60" t="str">
        <x:f>'Katalog kart'!C60</x:f>
        <x:v>Oczyszczanie</x:v>
      </x:c>
      <x:c r="F60" t="n">
        <x:f>'Katalog kart'!E60</x:f>
        <x:v>1</x:v>
      </x:c>
      <x:c r="G60" t="n">
        <x:f>'Katalog kart'!F60</x:f>
        <x:v>6</x:v>
      </x:c>
      <x:c r="H60" t="n">
        <x:f>'Balans — VP3'!H74*'Kalibracja — parametry'!$B$9+'Balans — VP3'!J74</x:f>
        <x:v>3</x:v>
      </x:c>
      <x:c r="I60" t="n">
        <x:f>'Balans — VP3'!I74*'Kalibracja — parametry'!$B$9+'Balans — VP3'!K74</x:f>
        <x:v>3</x:v>
      </x:c>
      <x:c r="J60" s="207" t="n">
        <x:v>1</x:v>
      </x:c>
      <x:c r="K60" s="207" t="n">
        <x:v>0</x:v>
      </x:c>
      <x:c r="L60" s="180" t="n">
        <x:f>IFERROR(VLOOKUP(E60,'Kalibracja — parametry'!$A$18:$G$31,2,FALSE),0)</x:f>
        <x:v>1.55</x:v>
      </x:c>
      <x:c r="M60" s="180" t="n">
        <x:f>IFERROR(VLOOKUP(E60,'Kalibracja — parametry'!$A$18:$G$31,3,FALSE),0)</x:f>
        <x:v>0.45</x:v>
      </x:c>
      <x:c r="N60" s="180" t="n">
        <x:f>IFERROR(VLOOKUP(E60,'Kalibracja — parametry'!$A$18:$G$31,4,FALSE),0)</x:f>
        <x:v>0.45</x:v>
      </x:c>
      <x:c r="O60" s="180" t="n">
        <x:f>IFERROR(VLOOKUP(D60,'Kalibracja — parametry'!$A$35:$D$39,2,FALSE),0)</x:f>
        <x:v>2.5</x:v>
      </x:c>
      <x:c r="P60" s="180" t="n">
        <x:f>M60*IF(O60&lt;=1,O60,1+(O60-1)*N60)</x:f>
        <x:v>0.75375</x:v>
      </x:c>
      <x:c r="Q60" s="205" t="n">
        <x:f>'Kalibracja — parametry'!$B$6*F60+'Kalibracja — parametry'!$B$7*G60+'Kalibracja — parametry'!$B$8*J60*L60*P60</x:f>
        <x:v>4.8683125</x:v>
      </x:c>
      <x:c r="R60" s="205" t="n">
        <x:f>'Kalibracja — parametry'!$B$6*(F60+H60)+'Kalibracja — parametry'!$B$7*(G60+I60)+'Kalibracja — parametry'!$B$8*(J60+K60)*L60*P60</x:f>
        <x:v>9.218312500000001</x:v>
      </x:c>
      <x:c r="S60" s="205" t="n">
        <x:f>Q60+R60</x:f>
        <x:v>14.086625000000002</x:v>
      </x:c>
      <x:c r="T60" s="181" t="n">
        <x:f>IFERROR(S60/'Kalibracja — parametry'!$B$10-1,0)</x:f>
        <x:v>-0.18862390129828244</x:v>
      </x:c>
      <x:c r="U60" t="str">
        <x:f>IF(T60&gt;'Kalibracja — parametry'!$B$11,"WYSOKA",IF(T60&lt; -'Kalibracja — parametry'!$B$11,"NISKA","W PASMIE"))</x:f>
        <x:v>NISKA</x:v>
      </x:c>
      <x:c r="V60" s="91" t="str">
        <x:v>—</x:v>
      </x:c>
      <x:c r="W60" t="str">
        <x:v>ULEPSZENIE PO 3T DO ZDEFINIOWANIA</x:v>
      </x:c>
      <x:c r="X60" t="str">
        <x:v>Jeden status lub możliwość</x:v>
      </x:c>
      <x:c r="Y60" s="180" t="n">
        <x:f>R60/(1+'Kalibracja — parametry'!$B$12)^'Kalibracja — parametry'!$B$9</x:f>
        <x:v>5.905782640227153</x:v>
      </x:c>
      <x:c r="Z60" s="181" t="n">
        <x:f>IFERROR(Y60/Q60-1,0)</x:f>
        <x:v>0.213106726453397</x:v>
      </x:c>
    </x:row>
    <x:row r="61">
      <x:c r="A61" t="str">
        <x:f>'Katalog kart'!A61</x:f>
        <x:v>S99</x:v>
      </x:c>
      <x:c r="B61" t="str">
        <x:f>'Katalog kart'!M61</x:f>
        <x:v>Krasnoludy</x:v>
      </x:c>
      <x:c r="C61" t="str">
        <x:f>'Katalog kart'!D61</x:f>
        <x:v>Górski Odtruwacz</x:v>
      </x:c>
      <x:c r="D61" t="str">
        <x:f>'Katalog kart'!B61</x:f>
        <x:v>Na koniec tury</x:v>
      </x:c>
      <x:c r="E61" t="str">
        <x:f>'Katalog kart'!C61</x:f>
        <x:v>Odporność</x:v>
      </x:c>
      <x:c r="F61" t="n">
        <x:f>'Katalog kart'!E61</x:f>
        <x:v>3</x:v>
      </x:c>
      <x:c r="G61" t="n">
        <x:f>'Katalog kart'!F61</x:f>
        <x:v>7</x:v>
      </x:c>
      <x:c r="H61" t="n">
        <x:f>'Balans — VP3'!H75*'Kalibracja — parametry'!$B$9+'Balans — VP3'!J75</x:f>
        <x:v>0</x:v>
      </x:c>
      <x:c r="I61" t="n">
        <x:f>'Balans — VP3'!I75*'Kalibracja — parametry'!$B$9+'Balans — VP3'!K75</x:f>
        <x:v>6</x:v>
      </x:c>
      <x:c r="J61" s="207" t="n">
        <x:v>1</x:v>
      </x:c>
      <x:c r="K61" s="207" t="n">
        <x:v>0</x:v>
      </x:c>
      <x:c r="L61" s="180" t="n">
        <x:f>IFERROR(VLOOKUP(E61,'Kalibracja — parametry'!$A$18:$G$31,2,FALSE),0)</x:f>
        <x:v>1.2</x:v>
      </x:c>
      <x:c r="M61" s="180" t="n">
        <x:f>IFERROR(VLOOKUP(E61,'Kalibracja — parametry'!$A$18:$G$31,3,FALSE),0)</x:f>
        <x:v>0.55</x:v>
      </x:c>
      <x:c r="N61" s="180" t="n">
        <x:f>IFERROR(VLOOKUP(E61,'Kalibracja — parametry'!$A$18:$G$31,4,FALSE),0)</x:f>
        <x:v>0.38</x:v>
      </x:c>
      <x:c r="O61" s="180" t="n">
        <x:f>IFERROR(VLOOKUP(D61,'Kalibracja — parametry'!$A$35:$D$39,2,FALSE),0)</x:f>
        <x:v>2.5</x:v>
      </x:c>
      <x:c r="P61" s="180" t="n">
        <x:f>M61*IF(O61&lt;=1,O61,1+(O61-1)*N61)</x:f>
        <x:v>0.8635000000000002</x:v>
      </x:c>
      <x:c r="Q61" s="205" t="n">
        <x:f>'Kalibracja — parametry'!$B$6*F61+'Kalibracja — parametry'!$B$7*G61+'Kalibracja — parametry'!$B$8*J61*L61*P61</x:f>
        <x:v>7.1862</x:v>
      </x:c>
      <x:c r="R61" s="205" t="n">
        <x:f>'Kalibracja — parametry'!$B$6*(F61+H61)+'Kalibracja — parametry'!$B$7*(G61+I61)+'Kalibracja — parametry'!$B$8*(J61+K61)*L61*P61</x:f>
        <x:v>9.886200000000002</x:v>
      </x:c>
      <x:c r="S61" s="205" t="n">
        <x:f>Q61+R61</x:f>
        <x:v>17.072400000000002</x:v>
      </x:c>
      <x:c r="T61" s="181" t="n">
        <x:f>IFERROR(S61/'Kalibracja — parametry'!$B$10-1,0)</x:f>
        <x:v>-0.016646123008513203</x:v>
      </x:c>
      <x:c r="U61" t="str">
        <x:f>IF(T61&gt;'Kalibracja — parametry'!$B$11,"WYSOKA",IF(T61&lt; -'Kalibracja — parametry'!$B$11,"NISKA","W PASMIE"))</x:f>
        <x:v>W PASMIE</x:v>
      </x:c>
      <x:c r="V61" s="91" t="str">
        <x:v>—</x:v>
      </x:c>
      <x:c r="W61" t="str">
        <x:v>ULEPSZENIE PO 3T DO ZDEFINIOWANIA</x:v>
      </x:c>
      <x:c r="X61" t="str">
        <x:v>Jeden status lub możliwość</x:v>
      </x:c>
      <x:c r="Y61" s="180" t="n">
        <x:f>R61/(1+'Kalibracja — parametry'!$B$12)^'Kalibracja — parametry'!$B$9</x:f>
        <x:v>6.333669892164503</x:v>
      </x:c>
      <x:c r="Z61" s="181" t="n">
        <x:f>IFERROR(Y61/Q61-1,0)</x:f>
        <x:v>-0.11863434191025823</x:v>
      </x:c>
    </x:row>
    <x:row r="62">
      <x:c r="A62" t="str">
        <x:f>'Katalog kart'!A62</x:f>
        <x:v>S101</x:v>
      </x:c>
      <x:c r="B62" t="str">
        <x:f>'Katalog kart'!M62</x:f>
        <x:v>Krasnoludy</x:v>
      </x:c>
      <x:c r="C62" t="str">
        <x:f>'Katalog kart'!D62</x:f>
        <x:v>Konstruktor Sprężyn</x:v>
      </x:c>
      <x:c r="D62" t="str">
        <x:f>'Katalog kart'!B62</x:f>
        <x:v>Na koniec tury</x:v>
      </x:c>
      <x:c r="E62" t="str">
        <x:f>'Katalog kart'!C62</x:f>
        <x:v>Szybki atak</x:v>
      </x:c>
      <x:c r="F62" t="n">
        <x:f>'Katalog kart'!E62</x:f>
        <x:v>2</x:v>
      </x:c>
      <x:c r="G62" t="n">
        <x:f>'Katalog kart'!F62</x:f>
        <x:v>4</x:v>
      </x:c>
      <x:c r="H62" t="n">
        <x:f>'Balans — VP3'!H76*'Kalibracja — parametry'!$B$9+'Balans — VP3'!J76</x:f>
        <x:v>8</x:v>
      </x:c>
      <x:c r="I62" t="n">
        <x:f>'Balans — VP3'!I76*'Kalibracja — parametry'!$B$9+'Balans — VP3'!K76</x:f>
        <x:v>1</x:v>
      </x:c>
      <x:c r="J62" s="207" t="n">
        <x:v>1</x:v>
      </x:c>
      <x:c r="K62" s="207" t="n">
        <x:v>0</x:v>
      </x:c>
      <x:c r="L62" s="180" t="n">
        <x:f>IFERROR(VLOOKUP(E62,'Kalibracja — parametry'!$A$18:$G$31,2,FALSE),0)</x:f>
        <x:v>1.8</x:v>
      </x:c>
      <x:c r="M62" s="180" t="n">
        <x:f>IFERROR(VLOOKUP(E62,'Kalibracja — parametry'!$A$18:$G$31,3,FALSE),0)</x:f>
        <x:v>0.58</x:v>
      </x:c>
      <x:c r="N62" s="180" t="n">
        <x:f>IFERROR(VLOOKUP(E62,'Kalibracja — parametry'!$A$18:$G$31,4,FALSE),0)</x:f>
        <x:v>0.37</x:v>
      </x:c>
      <x:c r="O62" s="180" t="n">
        <x:f>IFERROR(VLOOKUP(D62,'Kalibracja — parametry'!$A$35:$D$39,2,FALSE),0)</x:f>
        <x:v>2.5</x:v>
      </x:c>
      <x:c r="P62" s="180" t="n">
        <x:f>M62*IF(O62&lt;=1,O62,1+(O62-1)*N62)</x:f>
        <x:v>0.9018999999999999</x:v>
      </x:c>
      <x:c r="Q62" s="205" t="n">
        <x:f>'Kalibracja — parametry'!$B$6*F62+'Kalibracja — parametry'!$B$7*G62+'Kalibracja — parametry'!$B$8*J62*L62*P62</x:f>
        <x:v>5.42342</x:v>
      </x:c>
      <x:c r="R62" s="205" t="n">
        <x:f>'Kalibracja — parametry'!$B$6*(F62+H62)+'Kalibracja — parametry'!$B$7*(G62+I62)+'Kalibracja — parametry'!$B$8*(J62+K62)*L62*P62</x:f>
        <x:v>13.87342</x:v>
      </x:c>
      <x:c r="S62" s="205" t="n">
        <x:f>Q62+R62</x:f>
        <x:v>19.29684</x:v>
      </x:c>
      <x:c r="T62" s="181" t="n">
        <x:f>IFERROR(S62/'Kalibracja — parametry'!$B$10-1,0)</x:f>
        <x:v>0.11147948898130311</x:v>
      </x:c>
      <x:c r="U62" t="str">
        <x:f>IF(T62&gt;'Kalibracja — parametry'!$B$11,"WYSOKA",IF(T62&lt; -'Kalibracja — parametry'!$B$11,"NISKA","W PASMIE"))</x:f>
        <x:v>W PASMIE</x:v>
      </x:c>
      <x:c r="V62" s="91" t="str">
        <x:v>WYSOKIE: kombinacja</x:v>
      </x:c>
      <x:c r="W62" t="str">
        <x:v>Szybki atak przekazany karcie w ręce; silna synergia.</x:v>
      </x:c>
      <x:c r="X62" t="str">
        <x:v>Jeden status lub możliwość</x:v>
      </x:c>
      <x:c r="Y62" s="180" t="n">
        <x:f>R62/(1+'Kalibracja — parametry'!$B$12)^'Kalibracja — parametry'!$B$9</x:f>
        <x:v>8.888112981262045</x:v>
      </x:c>
      <x:c r="Z62" s="181" t="n">
        <x:f>IFERROR(Y62/Q62-1,0)</x:f>
        <x:v>0.6388391423238557</x:v>
      </x:c>
    </x:row>
    <x:row r="63">
      <x:c r="A63" t="str">
        <x:f>'Katalog kart'!A63</x:f>
        <x:v>S102</x:v>
      </x:c>
      <x:c r="B63" t="str">
        <x:f>'Katalog kart'!M63</x:f>
        <x:v>Krasnoludy</x:v>
      </x:c>
      <x:c r="C63" t="str">
        <x:f>'Katalog kart'!D63</x:f>
        <x:v>Mechanik Dwóch Ostrzy</x:v>
      </x:c>
      <x:c r="D63" t="str">
        <x:f>'Katalog kart'!B63</x:f>
        <x:v>Na koniec tury</x:v>
      </x:c>
      <x:c r="E63" t="str">
        <x:f>'Katalog kart'!C63</x:f>
        <x:v>Podwójny atak</x:v>
      </x:c>
      <x:c r="F63" t="n">
        <x:f>'Katalog kart'!E63</x:f>
        <x:v>1</x:v>
      </x:c>
      <x:c r="G63" t="n">
        <x:f>'Katalog kart'!F63</x:f>
        <x:v>5</x:v>
      </x:c>
      <x:c r="H63" t="n">
        <x:f>'Balans — VP3'!H77*'Kalibracja — parametry'!$B$9+'Balans — VP3'!J77</x:f>
        <x:v>8</x:v>
      </x:c>
      <x:c r="I63" t="n">
        <x:f>'Balans — VP3'!I77*'Kalibracja — parametry'!$B$9+'Balans — VP3'!K77</x:f>
        <x:v>0</x:v>
      </x:c>
      <x:c r="J63" s="207" t="n">
        <x:v>1</x:v>
      </x:c>
      <x:c r="K63" s="207" t="n">
        <x:v>0</x:v>
      </x:c>
      <x:c r="L63" s="180" t="n">
        <x:f>IFERROR(VLOOKUP(E63,'Kalibracja — parametry'!$A$18:$G$31,2,FALSE),0)</x:f>
        <x:v>2.55</x:v>
      </x:c>
      <x:c r="M63" s="180" t="n">
        <x:f>IFERROR(VLOOKUP(E63,'Kalibracja — parametry'!$A$18:$G$31,3,FALSE),0)</x:f>
        <x:v>0.68</x:v>
      </x:c>
      <x:c r="N63" s="180" t="n">
        <x:f>IFERROR(VLOOKUP(E63,'Kalibracja — parametry'!$A$18:$G$31,4,FALSE),0)</x:f>
        <x:v>0.53</x:v>
      </x:c>
      <x:c r="O63" s="180" t="n">
        <x:f>IFERROR(VLOOKUP(D63,'Kalibracja — parametry'!$A$35:$D$39,2,FALSE),0)</x:f>
        <x:v>2.5</x:v>
      </x:c>
      <x:c r="P63" s="180" t="n">
        <x:f>M63*IF(O63&lt;=1,O63,1+(O63-1)*N63)</x:f>
        <x:v>1.2206000000000001</x:v>
      </x:c>
      <x:c r="Q63" s="205" t="n">
        <x:f>'Kalibracja — parametry'!$B$6*F63+'Kalibracja — parametry'!$B$7*G63+'Kalibracja — parametry'!$B$8*J63*L63*P63</x:f>
        <x:v>6.36253</x:v>
      </x:c>
      <x:c r="R63" s="205" t="n">
        <x:f>'Kalibracja — parametry'!$B$6*(F63+H63)+'Kalibracja — parametry'!$B$7*(G63+I63)+'Kalibracja — parametry'!$B$8*(J63+K63)*L63*P63</x:f>
        <x:v>14.36253</x:v>
      </x:c>
      <x:c r="S63" s="205" t="n">
        <x:f>Q63+R63</x:f>
        <x:v>20.72506</x:v>
      </x:c>
      <x:c r="T63" s="181" t="n">
        <x:f>IFERROR(S63/'Kalibracja — parametry'!$B$10-1,0)</x:f>
        <x:v>0.19374359210662706</x:v>
      </x:c>
      <x:c r="U63" t="str">
        <x:f>IF(T63&gt;'Kalibracja — parametry'!$B$11,"WYSOKA",IF(T63&lt; -'Kalibracja — parametry'!$B$11,"NISKA","W PASMIE"))</x:f>
        <x:v>WYSOKA</x:v>
      </x:c>
      <x:c r="V63" s="91" t="str">
        <x:v>WYSOKIE: kombinacja</x:v>
      </x:c>
      <x:c r="W63" t="str">
        <x:v>Podwójny atak co turę i synergia z bestiami.</x:v>
      </x:c>
      <x:c r="X63" t="str">
        <x:v>Jeden status lub możliwość</x:v>
      </x:c>
      <x:c r="Y63" s="180" t="n">
        <x:f>R63/(1+'Kalibracja — parametry'!$B$12)^'Kalibracja — parametry'!$B$9</x:f>
        <x:v>9.201465055967855</x:v>
      </x:c>
      <x:c r="Z63" s="181" t="n">
        <x:f>IFERROR(Y63/Q63-1,0)</x:f>
        <x:v>0.4461959402891391</x:v>
      </x:c>
    </x:row>
    <x:row r="64">
      <x:c r="A64" t="str">
        <x:f>'Katalog kart'!A64</x:f>
        <x:v>S103</x:v>
      </x:c>
      <x:c r="B64" t="str">
        <x:f>'Katalog kart'!M64</x:f>
        <x:v>Ludzie</x:v>
      </x:c>
      <x:c r="C64" t="str">
        <x:f>'Katalog kart'!D64</x:f>
        <x:v>Weteran Odwetu</x:v>
      </x:c>
      <x:c r="D64" t="str">
        <x:f>'Katalog kart'!B64</x:f>
        <x:v>Pasywna</x:v>
      </x:c>
      <x:c r="E64" t="str">
        <x:f>'Katalog kart'!C64</x:f>
        <x:v>Obrażenia</x:v>
      </x:c>
      <x:c r="F64" t="n">
        <x:f>'Katalog kart'!E64</x:f>
        <x:v>4</x:v>
      </x:c>
      <x:c r="G64" t="n">
        <x:f>'Katalog kart'!F64</x:f>
        <x:v>5</x:v>
      </x:c>
      <x:c r="H64" t="n">
        <x:f>'Balans — VP3'!H78*'Kalibracja — parametry'!$B$9+'Balans — VP3'!J78</x:f>
        <x:v>0</x:v>
      </x:c>
      <x:c r="I64" t="n">
        <x:f>'Balans — VP3'!I78*'Kalibracja — parametry'!$B$9+'Balans — VP3'!K78</x:f>
        <x:v>6</x:v>
      </x:c>
      <x:c r="J64" s="207" t="n">
        <x:v>1</x:v>
      </x:c>
      <x:c r="K64" s="207" t="n">
        <x:v>1</x:v>
      </x:c>
      <x:c r="L64" s="180" t="n">
        <x:f>IFERROR(VLOOKUP(E64,'Kalibracja — parametry'!$A$18:$G$31,2,FALSE),0)</x:f>
        <x:v>1</x:v>
      </x:c>
      <x:c r="M64" s="180" t="n">
        <x:f>IFERROR(VLOOKUP(E64,'Kalibracja — parametry'!$A$18:$G$31,3,FALSE),0)</x:f>
        <x:v>0.9</x:v>
      </x:c>
      <x:c r="N64" s="180" t="n">
        <x:f>IFERROR(VLOOKUP(E64,'Kalibracja — parametry'!$A$18:$G$31,4,FALSE),0)</x:f>
        <x:v>0.95</x:v>
      </x:c>
      <x:c r="O64" s="180" t="n">
        <x:f>IFERROR(VLOOKUP(D64,'Kalibracja — parametry'!$A$35:$D$39,2,FALSE),0)</x:f>
        <x:v>1.5</x:v>
      </x:c>
      <x:c r="P64" s="180" t="n">
        <x:f>M64*IF(O64&lt;=1,O64,1+(O64-1)*N64)</x:f>
        <x:v>1.3275000000000001</x:v>
      </x:c>
      <x:c r="Q64" s="205" t="n">
        <x:f>'Kalibracja — parametry'!$B$6*F64+'Kalibracja — parametry'!$B$7*G64+'Kalibracja — parametry'!$B$8*J64*L64*P64</x:f>
        <x:v>7.577500000000001</x:v>
      </x:c>
      <x:c r="R64" s="205" t="n">
        <x:f>'Kalibracja — parametry'!$B$6*(F64+H64)+'Kalibracja — parametry'!$B$7*(G64+I64)+'Kalibracja — parametry'!$B$8*(J64+K64)*L64*P64</x:f>
        <x:v>11.605</x:v>
      </x:c>
      <x:c r="S64" s="205" t="n">
        <x:f>Q64+R64</x:f>
        <x:v>19.1825</x:v>
      </x:c>
      <x:c r="T64" s="181" t="n">
        <x:f>IFERROR(S64/'Kalibracja — parametry'!$B$10-1,0)</x:f>
        <x:v>0.10489361457025348</x:v>
      </x:c>
      <x:c r="U64" t="str">
        <x:f>IF(T64&gt;'Kalibracja — parametry'!$B$11,"WYSOKA",IF(T64&lt; -'Kalibracja — parametry'!$B$11,"NISKA","W PASMIE"))</x:f>
        <x:v>W PASMIE</x:v>
      </x:c>
      <x:c r="V64" s="91" t="str">
        <x:v>—</x:v>
      </x:c>
      <x:c r="W64" t="str"/>
      <x:c r="X64" t="str">
        <x:v>Suma obrażeń / leczenia / pancerza</x:v>
      </x:c>
      <x:c r="Y64" s="180" t="n">
        <x:f>R64/(1+'Kalibracja — parametry'!$B$12)^'Kalibracja — parametry'!$B$9</x:f>
        <x:v>7.434832301447375</x:v>
      </x:c>
      <x:c r="Z64" s="181" t="n">
        <x:f>IFERROR(Y64/Q64-1,0)</x:f>
        <x:v>-0.018827805813609433</x:v>
      </x:c>
    </x:row>
    <x:row r="65">
      <x:c r="A65" t="str">
        <x:f>'Katalog kart'!A65</x:f>
        <x:v>S104</x:v>
      </x:c>
      <x:c r="B65" t="str">
        <x:f>'Katalog kart'!M65</x:f>
        <x:v>Ludzie</x:v>
      </x:c>
      <x:c r="C65" t="str">
        <x:f>'Katalog kart'!D65</x:f>
        <x:v>Kapelan Garnizonu</x:v>
      </x:c>
      <x:c r="D65" t="str">
        <x:f>'Katalog kart'!B65</x:f>
        <x:v>Pasywna</x:v>
      </x:c>
      <x:c r="E65" t="str">
        <x:f>'Katalog kart'!C65</x:f>
        <x:v>Leczenie</x:v>
      </x:c>
      <x:c r="F65" t="n">
        <x:f>'Katalog kart'!E65</x:f>
        <x:v>4</x:v>
      </x:c>
      <x:c r="G65" t="n">
        <x:f>'Katalog kart'!F65</x:f>
        <x:v>5</x:v>
      </x:c>
      <x:c r="H65" t="n">
        <x:f>'Balans — VP3'!H79*'Kalibracja — parametry'!$B$9+'Balans — VP3'!J79</x:f>
        <x:v>0</x:v>
      </x:c>
      <x:c r="I65" t="n">
        <x:f>'Balans — VP3'!I79*'Kalibracja — parametry'!$B$9+'Balans — VP3'!K79</x:f>
        <x:v>6</x:v>
      </x:c>
      <x:c r="J65" s="207" t="n">
        <x:v>1</x:v>
      </x:c>
      <x:c r="K65" s="207" t="n">
        <x:v>1</x:v>
      </x:c>
      <x:c r="L65" s="180" t="n">
        <x:f>IFERROR(VLOOKUP(E65,'Kalibracja — parametry'!$A$18:$G$31,2,FALSE),0)</x:f>
        <x:v>0.66</x:v>
      </x:c>
      <x:c r="M65" s="180" t="n">
        <x:f>IFERROR(VLOOKUP(E65,'Kalibracja — parametry'!$A$18:$G$31,3,FALSE),0)</x:f>
        <x:v>0.72</x:v>
      </x:c>
      <x:c r="N65" s="180" t="n">
        <x:f>IFERROR(VLOOKUP(E65,'Kalibracja — parametry'!$A$18:$G$31,4,FALSE),0)</x:f>
        <x:v>0.82</x:v>
      </x:c>
      <x:c r="O65" s="180" t="n">
        <x:f>IFERROR(VLOOKUP(D65,'Kalibracja — parametry'!$A$35:$D$39,2,FALSE),0)</x:f>
        <x:v>1.5</x:v>
      </x:c>
      <x:c r="P65" s="180" t="n">
        <x:f>M65*IF(O65&lt;=1,O65,1+(O65-1)*N65)</x:f>
        <x:v>1.0151999999999999</x:v>
      </x:c>
      <x:c r="Q65" s="205" t="n">
        <x:f>'Kalibracja — parametry'!$B$6*F65+'Kalibracja — parametry'!$B$7*G65+'Kalibracja — parametry'!$B$8*J65*L65*P65</x:f>
        <x:v>6.920032</x:v>
      </x:c>
      <x:c r="R65" s="205" t="n">
        <x:f>'Kalibracja — parametry'!$B$6*(F65+H65)+'Kalibracja — parametry'!$B$7*(G65+I65)+'Kalibracja — parametry'!$B$8*(J65+K65)*L65*P65</x:f>
        <x:v>10.290064</x:v>
      </x:c>
      <x:c r="S65" s="205" t="n">
        <x:f>Q65+R65</x:f>
        <x:v>17.210096</x:v>
      </x:c>
      <x:c r="T65" s="181" t="n">
        <x:f>IFERROR(S65/'Kalibracja — parametry'!$B$10-1,0)</x:f>
        <x:v>-0.008714965382976225</x:v>
      </x:c>
      <x:c r="U65" t="str">
        <x:f>IF(T65&gt;'Kalibracja — parametry'!$B$11,"WYSOKA",IF(T65&lt; -'Kalibracja — parametry'!$B$11,"NISKA","W PASMIE"))</x:f>
        <x:v>W PASMIE</x:v>
      </x:c>
      <x:c r="V65" s="91" t="str">
        <x:v>—</x:v>
      </x:c>
      <x:c r="W65" t="str"/>
      <x:c r="X65" t="str">
        <x:v>Suma obrażeń / leczenia / pancerza</x:v>
      </x:c>
      <x:c r="Y65" s="180" t="n">
        <x:f>R65/(1+'Kalibracja — parametry'!$B$12)^'Kalibracja — parametry'!$B$9</x:f>
        <x:v>6.592408462831605</x:v>
      </x:c>
      <x:c r="Z65" s="181" t="n">
        <x:f>IFERROR(Y65/Q65-1,0)</x:f>
        <x:v>-0.04734422285451789</x:v>
      </x:c>
    </x:row>
    <x:row r="66">
      <x:c r="A66" t="str">
        <x:f>'Katalog kart'!A66</x:f>
        <x:v>S34</x:v>
      </x:c>
      <x:c r="B66" t="str">
        <x:f>'Katalog kart'!M66</x:f>
        <x:v>Ludzie</x:v>
      </x:c>
      <x:c r="C66" t="str">
        <x:f>'Katalog kart'!D66</x:f>
        <x:v>Chorąży Królewskiej Kompanii</x:v>
      </x:c>
      <x:c r="D66" t="str">
        <x:f>'Katalog kart'!B66</x:f>
        <x:v>Pasywna</x:v>
      </x:c>
      <x:c r="E66" t="str">
        <x:f>'Katalog kart'!C66</x:f>
        <x:v>ATK ±</x:v>
      </x:c>
      <x:c r="F66" t="n">
        <x:f>'Katalog kart'!E66</x:f>
        <x:v>1</x:v>
      </x:c>
      <x:c r="G66" t="n">
        <x:f>'Katalog kart'!F66</x:f>
        <x:v>6</x:v>
      </x:c>
      <x:c r="H66" t="n">
        <x:f>'Balans — VP3'!H80*'Kalibracja — parametry'!$B$9+'Balans — VP3'!J80</x:f>
        <x:v>6</x:v>
      </x:c>
      <x:c r="I66" t="n">
        <x:f>'Balans — VP3'!I80*'Kalibracja — parametry'!$B$9+'Balans — VP3'!K80</x:f>
        <x:v>0</x:v>
      </x:c>
      <x:c r="J66" s="207" t="n">
        <x:v>1</x:v>
      </x:c>
      <x:c r="K66" s="207" t="n">
        <x:v>1</x:v>
      </x:c>
      <x:c r="L66" s="180" t="n">
        <x:f>IFERROR(VLOOKUP(E66,'Kalibracja — parametry'!$A$18:$G$31,2,FALSE),0)</x:f>
        <x:v>1.05</x:v>
      </x:c>
      <x:c r="M66" s="180" t="n">
        <x:f>IFERROR(VLOOKUP(E66,'Kalibracja — parametry'!$A$18:$G$31,3,FALSE),0)</x:f>
        <x:v>0.8</x:v>
      </x:c>
      <x:c r="N66" s="180" t="n">
        <x:f>IFERROR(VLOOKUP(E66,'Kalibracja — parametry'!$A$18:$G$31,4,FALSE),0)</x:f>
        <x:v>0.72</x:v>
      </x:c>
      <x:c r="O66" s="180" t="n">
        <x:f>IFERROR(VLOOKUP(D66,'Kalibracja — parametry'!$A$35:$D$39,2,FALSE),0)</x:f>
        <x:v>1.5</x:v>
      </x:c>
      <x:c r="P66" s="180" t="n">
        <x:f>M66*IF(O66&lt;=1,O66,1+(O66-1)*N66)</x:f>
        <x:v>1.0879999999999999</x:v>
      </x:c>
      <x:c r="Q66" s="205" t="n">
        <x:f>'Kalibracja — parametry'!$B$6*F66+'Kalibracja — parametry'!$B$7*G66+'Kalibracja — parametry'!$B$8*J66*L66*P66</x:f>
        <x:v>4.8424</x:v>
      </x:c>
      <x:c r="R66" s="205" t="n">
        <x:f>'Kalibracja — parametry'!$B$6*(F66+H66)+'Kalibracja — parametry'!$B$7*(G66+I66)+'Kalibracja — parametry'!$B$8*(J66+K66)*L66*P66</x:f>
        <x:v>11.9848</x:v>
      </x:c>
      <x:c r="S66" s="205" t="n">
        <x:f>Q66+R66</x:f>
        <x:v>16.827199999999998</x:v>
      </x:c>
      <x:c r="T66" s="181" t="n">
        <x:f>IFERROR(S66/'Kalibracja — parametry'!$B$10-1,0)</x:f>
        <x:v>-0.03076940799705119</x:v>
      </x:c>
      <x:c r="U66" t="str">
        <x:f>IF(T66&gt;'Kalibracja — parametry'!$B$11,"WYSOKA",IF(T66&lt; -'Kalibracja — parametry'!$B$11,"NISKA","W PASMIE"))</x:f>
        <x:v>W PASMIE</x:v>
      </x:c>
      <x:c r="V66" s="91" t="str">
        <x:v>—</x:v>
      </x:c>
      <x:c r="W66" t="str"/>
      <x:c r="X66" t="str">
        <x:v>Punkty ATK/MAX HP przy aktywacji</x:v>
      </x:c>
      <x:c r="Y66" s="180" t="n">
        <x:f>R66/(1+'Kalibracja — parametry'!$B$12)^'Kalibracja — parametry'!$B$9</x:f>
        <x:v>7.678154085858379</x:v>
      </x:c>
      <x:c r="Z66" s="181" t="n">
        <x:f>IFERROR(Y66/Q66-1,0)</x:f>
        <x:v>0.5856092197791136</x:v>
      </x:c>
    </x:row>
    <x:row r="67">
      <x:c r="A67" t="str">
        <x:f>'Katalog kart'!A67</x:f>
        <x:v>S35</x:v>
      </x:c>
      <x:c r="B67" t="str">
        <x:f>'Katalog kart'!M67</x:f>
        <x:v>Ludzie</x:v>
      </x:c>
      <x:c r="C67" t="str">
        <x:f>'Katalog kart'!D67</x:f>
        <x:v>Komendant Straży</x:v>
      </x:c>
      <x:c r="D67" t="str">
        <x:f>'Katalog kart'!B67</x:f>
        <x:v>Pasywna</x:v>
      </x:c>
      <x:c r="E67" t="str">
        <x:f>'Katalog kart'!C67</x:f>
        <x:v>MAX HP ±</x:v>
      </x:c>
      <x:c r="F67" t="n">
        <x:f>'Katalog kart'!E67</x:f>
        <x:v>3</x:v>
      </x:c>
      <x:c r="G67" t="n">
        <x:f>'Katalog kart'!F67</x:f>
        <x:v>7</x:v>
      </x:c>
      <x:c r="H67" t="n">
        <x:f>'Balans — VP3'!H81*'Kalibracja — parametry'!$B$9+'Balans — VP3'!J81</x:f>
        <x:v>0</x:v>
      </x:c>
      <x:c r="I67" t="n">
        <x:f>'Balans — VP3'!I81*'Kalibracja — parametry'!$B$9+'Balans — VP3'!K81</x:f>
        <x:v>6</x:v>
      </x:c>
      <x:c r="J67" s="207" t="n">
        <x:v>1</x:v>
      </x:c>
      <x:c r="K67" s="207" t="n">
        <x:v>1</x:v>
      </x:c>
      <x:c r="L67" s="180" t="n">
        <x:f>IFERROR(VLOOKUP(E67,'Kalibracja — parametry'!$A$18:$G$31,2,FALSE),0)</x:f>
        <x:v>0.52</x:v>
      </x:c>
      <x:c r="M67" s="180" t="n">
        <x:f>IFERROR(VLOOKUP(E67,'Kalibracja — parametry'!$A$18:$G$31,3,FALSE),0)</x:f>
        <x:v>0.8</x:v>
      </x:c>
      <x:c r="N67" s="180" t="n">
        <x:f>IFERROR(VLOOKUP(E67,'Kalibracja — parametry'!$A$18:$G$31,4,FALSE),0)</x:f>
        <x:v>0.72</x:v>
      </x:c>
      <x:c r="O67" s="180" t="n">
        <x:f>IFERROR(VLOOKUP(D67,'Kalibracja — parametry'!$A$35:$D$39,2,FALSE),0)</x:f>
        <x:v>1.5</x:v>
      </x:c>
      <x:c r="P67" s="180" t="n">
        <x:f>M67*IF(O67&lt;=1,O67,1+(O67-1)*N67)</x:f>
        <x:v>1.0879999999999999</x:v>
      </x:c>
      <x:c r="Q67" s="205" t="n">
        <x:f>'Kalibracja — parametry'!$B$6*F67+'Kalibracja — parametry'!$B$7*G67+'Kalibracja — parametry'!$B$8*J67*L67*P67</x:f>
        <x:v>6.71576</x:v>
      </x:c>
      <x:c r="R67" s="205" t="n">
        <x:f>'Kalibracja — parametry'!$B$6*(F67+H67)+'Kalibracja — parametry'!$B$7*(G67+I67)+'Kalibracja — parametry'!$B$8*(J67+K67)*L67*P67</x:f>
        <x:v>9.981520000000002</x:v>
      </x:c>
      <x:c r="S67" s="205" t="n">
        <x:f>Q67+R67</x:f>
        <x:v>16.697280000000003</x:v>
      </x:c>
      <x:c r="T67" s="181" t="n">
        <x:f>IFERROR(S67/'Kalibracja — parametry'!$B$10-1,0)</x:f>
        <x:v>-0.03825267547548006</x:v>
      </x:c>
      <x:c r="U67" t="str">
        <x:f>IF(T67&gt;'Kalibracja — parametry'!$B$11,"WYSOKA",IF(T67&lt; -'Kalibracja — parametry'!$B$11,"NISKA","W PASMIE"))</x:f>
        <x:v>W PASMIE</x:v>
      </x:c>
      <x:c r="V67" s="91" t="str">
        <x:v>—</x:v>
      </x:c>
      <x:c r="W67" t="str"/>
      <x:c r="X67" t="str">
        <x:v>Punkty ATK/MAX HP przy aktywacji</x:v>
      </x:c>
      <x:c r="Y67" s="180" t="n">
        <x:f>R67/(1+'Kalibracja — parametry'!$B$12)^'Kalibracja — parametry'!$B$9</x:f>
        <x:v>6.394737381606464</x:v>
      </x:c>
      <x:c r="Z67" s="181" t="n">
        <x:f>IFERROR(Y67/Q67-1,0)</x:f>
        <x:v>-0.04780138337188</x:v>
      </x:c>
    </x:row>
    <x:row r="68">
      <x:c r="A68" t="str">
        <x:f>'Katalog kart'!A68</x:f>
        <x:v>S105</x:v>
      </x:c>
      <x:c r="B68" t="str">
        <x:f>'Katalog kart'!M68</x:f>
        <x:v>Ludzie</x:v>
      </x:c>
      <x:c r="C68" t="str">
        <x:f>'Katalog kart'!D68</x:f>
        <x:v>Zbrojmistrz Garnizonu</x:v>
      </x:c>
      <x:c r="D68" t="str">
        <x:f>'Katalog kart'!B68</x:f>
        <x:v>Pasywna</x:v>
      </x:c>
      <x:c r="E68" t="str">
        <x:f>'Katalog kart'!C68</x:f>
        <x:v>Pancerz</x:v>
      </x:c>
      <x:c r="F68" t="n">
        <x:f>'Katalog kart'!E68</x:f>
        <x:v>2</x:v>
      </x:c>
      <x:c r="G68" t="n">
        <x:f>'Katalog kart'!F68</x:f>
        <x:v>7</x:v>
      </x:c>
      <x:c r="H68" t="n">
        <x:f>'Balans — VP3'!H82*'Kalibracja — parametry'!$B$9+'Balans — VP3'!J82</x:f>
        <x:v>0</x:v>
      </x:c>
      <x:c r="I68" t="n">
        <x:f>'Balans — VP3'!I82*'Kalibracja — parametry'!$B$9+'Balans — VP3'!K82</x:f>
        <x:v>6</x:v>
      </x:c>
      <x:c r="J68" s="207" t="n">
        <x:v>2</x:v>
      </x:c>
      <x:c r="K68" s="207" t="n">
        <x:v>1</x:v>
      </x:c>
      <x:c r="L68" s="180" t="n">
        <x:f>IFERROR(VLOOKUP(E68,'Kalibracja — parametry'!$A$18:$G$31,2,FALSE),0)</x:f>
        <x:v>0.55</x:v>
      </x:c>
      <x:c r="M68" s="180" t="n">
        <x:f>IFERROR(VLOOKUP(E68,'Kalibracja — parametry'!$A$18:$G$31,3,FALSE),0)</x:f>
        <x:v>0.76</x:v>
      </x:c>
      <x:c r="N68" s="180" t="n">
        <x:f>IFERROR(VLOOKUP(E68,'Kalibracja — parametry'!$A$18:$G$31,4,FALSE),0)</x:f>
        <x:v>0.64</x:v>
      </x:c>
      <x:c r="O68" s="180" t="n">
        <x:f>IFERROR(VLOOKUP(D68,'Kalibracja — parametry'!$A$35:$D$39,2,FALSE),0)</x:f>
        <x:v>1.5</x:v>
      </x:c>
      <x:c r="P68" s="180" t="n">
        <x:f>M68*IF(O68&lt;=1,O68,1+(O68-1)*N68)</x:f>
        <x:v>1.0032</x:v>
      </x:c>
      <x:c r="Q68" s="205" t="n">
        <x:f>'Kalibracja — parametry'!$B$6*F68+'Kalibracja — parametry'!$B$7*G68+'Kalibracja — parametry'!$B$8*J68*L68*P68</x:f>
        <x:v>6.253520000000001</x:v>
      </x:c>
      <x:c r="R68" s="205" t="n">
        <x:f>'Kalibracja — parametry'!$B$6*(F68+H68)+'Kalibracja — parametry'!$B$7*(G68+I68)+'Kalibracja — parametry'!$B$8*(J68+K68)*L68*P68</x:f>
        <x:v>9.50528</x:v>
      </x:c>
      <x:c r="S68" s="205" t="n">
        <x:f>Q68+R68</x:f>
        <x:v>15.7588</x:v>
      </x:c>
      <x:c r="T68" s="181" t="n">
        <x:f>IFERROR(S68/'Kalibracja — parametry'!$B$10-1,0)</x:f>
        <x:v>-0.0923082239911529</x:v>
      </x:c>
      <x:c r="U68" t="str">
        <x:f>IF(T68&gt;'Kalibracja — parametry'!$B$11,"WYSOKA",IF(T68&lt; -'Kalibracja — parametry'!$B$11,"NISKA","W PASMIE"))</x:f>
        <x:v>W PASMIE</x:v>
      </x:c>
      <x:c r="V68" s="91" t="str">
        <x:v>—</x:v>
      </x:c>
      <x:c r="W68" t="str"/>
      <x:c r="X68" t="str">
        <x:v>Suma obrażeń / leczenia / pancerza</x:v>
      </x:c>
      <x:c r="Y68" s="180" t="n">
        <x:f>R68/(1+'Kalibracja — parametry'!$B$12)^'Kalibracja — parametry'!$B$9</x:f>
        <x:v>6.08963057115913</x:v>
      </x:c>
      <x:c r="Z68" s="181" t="n">
        <x:f>IFERROR(Y68/Q68-1,0)</x:f>
        <x:v>-0.026207548523211055</x:v>
      </x:c>
    </x:row>
    <x:row r="69">
      <x:c r="A69" t="str">
        <x:f>'Katalog kart'!A69</x:f>
        <x:v>S106</x:v>
      </x:c>
      <x:c r="B69" t="str">
        <x:f>'Katalog kart'!M69</x:f>
        <x:v>Ludzie</x:v>
      </x:c>
      <x:c r="C69" t="str">
        <x:f>'Katalog kart'!D69</x:f>
        <x:v>Chorąży z Pawężą</x:v>
      </x:c>
      <x:c r="D69" t="str">
        <x:f>'Katalog kart'!B69</x:f>
        <x:v>Pasywna</x:v>
      </x:c>
      <x:c r="E69" t="str">
        <x:f>'Katalog kart'!C69</x:f>
        <x:v>Tarcza</x:v>
      </x:c>
      <x:c r="F69" t="n">
        <x:f>'Katalog kart'!E69</x:f>
        <x:v>3</x:v>
      </x:c>
      <x:c r="G69" t="n">
        <x:f>'Katalog kart'!F69</x:f>
        <x:v>7</x:v>
      </x:c>
      <x:c r="H69" t="n">
        <x:f>'Balans — VP3'!H83*'Kalibracja — parametry'!$B$9+'Balans — VP3'!J83</x:f>
        <x:v>0</x:v>
      </x:c>
      <x:c r="I69" t="n">
        <x:f>'Balans — VP3'!I83*'Kalibracja — parametry'!$B$9+'Balans — VP3'!K83</x:f>
        <x:v>9</x:v>
      </x:c>
      <x:c r="J69" s="207" t="n">
        <x:v>1</x:v>
      </x:c>
      <x:c r="K69" s="207" t="n">
        <x:v>0</x:v>
      </x:c>
      <x:c r="L69" s="180" t="n">
        <x:f>IFERROR(VLOOKUP(E69,'Kalibracja — parametry'!$A$18:$G$31,2,FALSE),0)</x:f>
        <x:v>2.2</x:v>
      </x:c>
      <x:c r="M69" s="180" t="n">
        <x:f>IFERROR(VLOOKUP(E69,'Kalibracja — parametry'!$A$18:$G$31,3,FALSE),0)</x:f>
        <x:v>0.67</x:v>
      </x:c>
      <x:c r="N69" s="180" t="n">
        <x:f>IFERROR(VLOOKUP(E69,'Kalibracja — parametry'!$A$18:$G$31,4,FALSE),0)</x:f>
        <x:v>0.23</x:v>
      </x:c>
      <x:c r="O69" s="180" t="n">
        <x:f>IFERROR(VLOOKUP(D69,'Kalibracja — parametry'!$A$35:$D$39,2,FALSE),0)</x:f>
        <x:v>1.5</x:v>
      </x:c>
      <x:c r="P69" s="180" t="n">
        <x:f>M69*IF(O69&lt;=1,O69,1+(O69-1)*N69)</x:f>
        <x:v>0.74705</x:v>
      </x:c>
      <x:c r="Q69" s="205" t="n">
        <x:f>'Kalibracja — parametry'!$B$6*F69+'Kalibracja — parametry'!$B$7*G69+'Kalibracja — parametry'!$B$8*J69*L69*P69</x:f>
        <x:v>7.79351</x:v>
      </x:c>
      <x:c r="R69" s="205" t="n">
        <x:f>'Kalibracja — parametry'!$B$6*(F69+H69)+'Kalibracja — parametry'!$B$7*(G69+I69)+'Kalibracja — parametry'!$B$8*(J69+K69)*L69*P69</x:f>
        <x:v>11.843509999999998</x:v>
      </x:c>
      <x:c r="S69" s="205" t="n">
        <x:f>Q69+R69</x:f>
        <x:v>19.63702</x:v>
      </x:c>
      <x:c r="T69" s="181" t="n">
        <x:f>IFERROR(S69/'Kalibracja — parametry'!$B$10-1,0)</x:f>
        <x:v>0.13107353093644503</x:v>
      </x:c>
      <x:c r="U69" t="str">
        <x:f>IF(T69&gt;'Kalibracja — parametry'!$B$11,"WYSOKA",IF(T69&lt; -'Kalibracja — parametry'!$B$11,"NISKA","W PASMIE"))</x:f>
        <x:v>WYSOKA</x:v>
      </x:c>
      <x:c r="V69" s="91" t="str">
        <x:v>—</x:v>
      </x:c>
      <x:c r="W69" t="str">
        <x:v>Premia co 3T jest w statystykach, nie w liczbie ładunków/ataków.</x:v>
      </x:c>
      <x:c r="X69" t="str">
        <x:v>Jeden status lub możliwość</x:v>
      </x:c>
      <x:c r="Y69" s="180" t="n">
        <x:f>R69/(1+'Kalibracja — parametry'!$B$12)^'Kalibracja — parametry'!$B$9</x:f>
        <x:v>7.587635563163722</x:v>
      </x:c>
      <x:c r="Z69" s="181" t="n">
        <x:f>IFERROR(Y69/Q69-1,0)</x:f>
        <x:v>-0.026416138150368584</x:v>
      </x:c>
    </x:row>
    <x:row r="70">
      <x:c r="A70" t="str">
        <x:f>'Katalog kart'!A70</x:f>
        <x:v>S107</x:v>
      </x:c>
      <x:c r="B70" t="str">
        <x:f>'Katalog kart'!M70</x:f>
        <x:v>Ludzie</x:v>
      </x:c>
      <x:c r="C70" t="str">
        <x:f>'Katalog kart'!D70</x:f>
        <x:v>Chemik Wojskowy</x:v>
      </x:c>
      <x:c r="D70" t="str">
        <x:f>'Katalog kart'!B70</x:f>
        <x:v>Pasywna</x:v>
      </x:c>
      <x:c r="E70" t="str">
        <x:f>'Katalog kart'!C70</x:f>
        <x:v>Trucizna</x:v>
      </x:c>
      <x:c r="F70" t="n">
        <x:f>'Katalog kart'!E70</x:f>
        <x:v>2</x:v>
      </x:c>
      <x:c r="G70" t="n">
        <x:f>'Katalog kart'!F70</x:f>
        <x:v>6</x:v>
      </x:c>
      <x:c r="H70" t="n">
        <x:f>'Balans — VP3'!H84*'Kalibracja — parametry'!$B$9+'Balans — VP3'!J84</x:f>
        <x:v>6</x:v>
      </x:c>
      <x:c r="I70" t="n">
        <x:f>'Balans — VP3'!I84*'Kalibracja — parametry'!$B$9+'Balans — VP3'!K84</x:f>
        <x:v>0</x:v>
      </x:c>
      <x:c r="J70" s="207" t="n">
        <x:v>2</x:v>
      </x:c>
      <x:c r="K70" s="207" t="n">
        <x:v>1</x:v>
      </x:c>
      <x:c r="L70" s="180" t="n">
        <x:f>IFERROR(VLOOKUP(E70,'Kalibracja — parametry'!$A$18:$G$31,2,FALSE),0)</x:f>
        <x:v>0.78</x:v>
      </x:c>
      <x:c r="M70" s="180" t="n">
        <x:f>IFERROR(VLOOKUP(E70,'Kalibracja — parametry'!$A$18:$G$31,3,FALSE),0)</x:f>
        <x:v>0.72</x:v>
      </x:c>
      <x:c r="N70" s="180" t="n">
        <x:f>IFERROR(VLOOKUP(E70,'Kalibracja — parametry'!$A$18:$G$31,4,FALSE),0)</x:f>
        <x:v>0.55</x:v>
      </x:c>
      <x:c r="O70" s="180" t="n">
        <x:f>IFERROR(VLOOKUP(D70,'Kalibracja — parametry'!$A$35:$D$39,2,FALSE),0)</x:f>
        <x:v>1.5</x:v>
      </x:c>
      <x:c r="P70" s="180" t="n">
        <x:f>M70*IF(O70&lt;=1,O70,1+(O70-1)*N70)</x:f>
        <x:v>0.9179999999999999</x:v>
      </x:c>
      <x:c r="Q70" s="205" t="n">
        <x:f>'Kalibracja — parametry'!$B$6*F70+'Kalibracja — parametry'!$B$7*G70+'Kalibracja — parametry'!$B$8*J70*L70*P70</x:f>
        <x:v>6.13208</x:v>
      </x:c>
      <x:c r="R70" s="205" t="n">
        <x:f>'Kalibracja — parametry'!$B$6*(F70+H70)+'Kalibracja — parametry'!$B$7*(G70+I70)+'Kalibracja — parametry'!$B$8*(J70+K70)*L70*P70</x:f>
        <x:v>12.848119999999998</x:v>
      </x:c>
      <x:c r="S70" s="205" t="n">
        <x:f>Q70+R70</x:f>
        <x:v>18.980199999999996</x:v>
      </x:c>
      <x:c r="T70" s="181" t="n">
        <x:f>IFERROR(S70/'Kalibracja — parametry'!$B$10-1,0)</x:f>
        <x:v>0.0932413284642939</x:v>
      </x:c>
      <x:c r="U70" t="str">
        <x:f>IF(T70&gt;'Kalibracja — parametry'!$B$11,"WYSOKA",IF(T70&lt; -'Kalibracja — parametry'!$B$11,"NISKA","W PASMIE"))</x:f>
        <x:v>W PASMIE</x:v>
      </x:c>
      <x:c r="V70" s="91" t="str">
        <x:v>—</x:v>
      </x:c>
      <x:c r="W70" t="str"/>
      <x:c r="X70" t="str">
        <x:v>Suma obrażeń / leczenia / pancerza</x:v>
      </x:c>
      <x:c r="Y70" s="180" t="n">
        <x:f>R70/(1+'Kalibracja — parametry'!$B$12)^'Kalibracja — parametry'!$B$9</x:f>
        <x:v>8.231246668580097</x:v>
      </x:c>
      <x:c r="Z70" s="181" t="n">
        <x:f>IFERROR(Y70/Q70-1,0)</x:f>
        <x:v>0.3423253885435442</x:v>
      </x:c>
    </x:row>
    <x:row r="71">
      <x:c r="A71" t="str">
        <x:f>'Katalog kart'!A71</x:f>
        <x:v>S108</x:v>
      </x:c>
      <x:c r="B71" t="str">
        <x:f>'Katalog kart'!M71</x:f>
        <x:v>Ludzie</x:v>
      </x:c>
      <x:c r="C71" t="str">
        <x:f>'Katalog kart'!D71</x:f>
        <x:v>Królewski Trębacz</x:v>
      </x:c>
      <x:c r="D71" t="str">
        <x:f>'Katalog kart'!B71</x:f>
        <x:v>Pasywna</x:v>
      </x:c>
      <x:c r="E71" t="str">
        <x:f>'Katalog kart'!C71</x:f>
        <x:v>Ogłuszenie</x:v>
      </x:c>
      <x:c r="F71" t="n">
        <x:f>'Katalog kart'!E71</x:f>
        <x:v>1</x:v>
      </x:c>
      <x:c r="G71" t="n">
        <x:f>'Katalog kart'!F71</x:f>
        <x:v>6</x:v>
      </x:c>
      <x:c r="H71" t="n">
        <x:f>'Balans — VP3'!H85*'Kalibracja — parametry'!$B$9+'Balans — VP3'!J85</x:f>
        <x:v>3</x:v>
      </x:c>
      <x:c r="I71" t="n">
        <x:f>'Balans — VP3'!I85*'Kalibracja — parametry'!$B$9+'Balans — VP3'!K85</x:f>
        <x:v>3</x:v>
      </x:c>
      <x:c r="J71" s="207" t="n">
        <x:v>1</x:v>
      </x:c>
      <x:c r="K71" s="207" t="n">
        <x:v>0</x:v>
      </x:c>
      <x:c r="L71" s="180" t="n">
        <x:f>IFERROR(VLOOKUP(E71,'Kalibracja — parametry'!$A$18:$G$31,2,FALSE),0)</x:f>
        <x:v>2.35</x:v>
      </x:c>
      <x:c r="M71" s="180" t="n">
        <x:f>IFERROR(VLOOKUP(E71,'Kalibracja — parametry'!$A$18:$G$31,3,FALSE),0)</x:f>
        <x:v>0.74</x:v>
      </x:c>
      <x:c r="N71" s="180" t="n">
        <x:f>IFERROR(VLOOKUP(E71,'Kalibracja — parametry'!$A$18:$G$31,4,FALSE),0)</x:f>
        <x:v>0.6</x:v>
      </x:c>
      <x:c r="O71" s="180" t="n">
        <x:f>IFERROR(VLOOKUP(D71,'Kalibracja — parametry'!$A$35:$D$39,2,FALSE),0)</x:f>
        <x:v>1.5</x:v>
      </x:c>
      <x:c r="P71" s="180" t="n">
        <x:f>M71*IF(O71&lt;=1,O71,1+(O71-1)*N71)</x:f>
        <x:v>0.962</x:v>
      </x:c>
      <x:c r="Q71" s="205" t="n">
        <x:f>'Kalibracja — parametry'!$B$6*F71+'Kalibracja — parametry'!$B$7*G71+'Kalibracja — parametry'!$B$8*J71*L71*P71</x:f>
        <x:v>5.9607</x:v>
      </x:c>
      <x:c r="R71" s="205" t="n">
        <x:f>'Kalibracja — parametry'!$B$6*(F71+H71)+'Kalibracja — parametry'!$B$7*(G71+I71)+'Kalibracja — parametry'!$B$8*(J71+K71)*L71*P71</x:f>
        <x:v>10.3107</x:v>
      </x:c>
      <x:c r="S71" s="205" t="n">
        <x:f>Q71+R71</x:f>
        <x:v>16.2714</x:v>
      </x:c>
      <x:c r="T71" s="181" t="n">
        <x:f>IFERROR(S71/'Kalibracja — parametry'!$B$10-1,0)</x:f>
        <x:v>-0.06278295529162414</x:v>
      </x:c>
      <x:c r="U71" t="str">
        <x:f>IF(T71&gt;'Kalibracja — parametry'!$B$11,"WYSOKA",IF(T71&lt; -'Kalibracja — parametry'!$B$11,"NISKA","W PASMIE"))</x:f>
        <x:v>W PASMIE</x:v>
      </x:c>
      <x:c r="V71" s="91" t="str">
        <x:v>KRYTYCZNE: pętla kontroli</x:v>
      </x:c>
      <x:c r="W71" t="str">
        <x:v>Stałe ogłuszenie jednostki naprzeciw wymaga reguł kontrgry. | ULEPSZENIE PO 3T DO ZDEFINIOWANIA</x:v>
      </x:c>
      <x:c r="X71" t="str">
        <x:v>Jeden status lub możliwość</x:v>
      </x:c>
      <x:c r="Y71" s="180" t="n">
        <x:f>R71/(1+'Kalibracja — parametry'!$B$12)^'Kalibracja — parametry'!$B$9</x:f>
        <x:v>6.605629074582805</x:v>
      </x:c>
      <x:c r="Z71" s="181" t="n">
        <x:f>IFERROR(Y71/Q71-1,0)</x:f>
        <x:v>0.108196868586375</x:v>
      </x:c>
    </x:row>
    <x:row r="72">
      <x:c r="A72" t="str">
        <x:f>'Katalog kart'!A72</x:f>
        <x:v>S109</x:v>
      </x:c>
      <x:c r="B72" t="str">
        <x:f>'Katalog kart'!M72</x:f>
        <x:v>Ludzie</x:v>
      </x:c>
      <x:c r="C72" t="str">
        <x:f>'Katalog kart'!D72</x:f>
        <x:v>Kapelan Odnowy</x:v>
      </x:c>
      <x:c r="D72" t="str">
        <x:f>'Katalog kart'!B72</x:f>
        <x:v>Pasywna</x:v>
      </x:c>
      <x:c r="E72" t="str">
        <x:f>'Katalog kart'!C72</x:f>
        <x:v>Regeneracja</x:v>
      </x:c>
      <x:c r="F72" t="n">
        <x:f>'Katalog kart'!E72</x:f>
        <x:v>2</x:v>
      </x:c>
      <x:c r="G72" t="n">
        <x:f>'Katalog kart'!F72</x:f>
        <x:v>7</x:v>
      </x:c>
      <x:c r="H72" t="n">
        <x:f>'Balans — VP3'!H86*'Kalibracja — parametry'!$B$9+'Balans — VP3'!J86</x:f>
        <x:v>0</x:v>
      </x:c>
      <x:c r="I72" t="n">
        <x:f>'Balans — VP3'!I86*'Kalibracja — parametry'!$B$9+'Balans — VP3'!K86</x:f>
        <x:v>6</x:v>
      </x:c>
      <x:c r="J72" s="207" t="n">
        <x:v>1</x:v>
      </x:c>
      <x:c r="K72" s="207" t="n">
        <x:v>1</x:v>
      </x:c>
      <x:c r="L72" s="180" t="n">
        <x:f>IFERROR(VLOOKUP(E72,'Kalibracja — parametry'!$A$18:$G$31,2,FALSE),0)</x:f>
        <x:v>0.41</x:v>
      </x:c>
      <x:c r="M72" s="180" t="n">
        <x:f>IFERROR(VLOOKUP(E72,'Kalibracja — parametry'!$A$18:$G$31,3,FALSE),0)</x:f>
        <x:v>0.66</x:v>
      </x:c>
      <x:c r="N72" s="180" t="n">
        <x:f>IFERROR(VLOOKUP(E72,'Kalibracja — parametry'!$A$18:$G$31,4,FALSE),0)</x:f>
        <x:v>0.51</x:v>
      </x:c>
      <x:c r="O72" s="180" t="n">
        <x:f>IFERROR(VLOOKUP(D72,'Kalibracja — parametry'!$A$35:$D$39,2,FALSE),0)</x:f>
        <x:v>1.5</x:v>
      </x:c>
      <x:c r="P72" s="180" t="n">
        <x:f>M72*IF(O72&lt;=1,O72,1+(O72-1)*N72)</x:f>
        <x:v>0.8282999999999999</x:v>
      </x:c>
      <x:c r="Q72" s="205" t="n">
        <x:f>'Kalibracja — parametry'!$B$6*F72+'Kalibracja — parametry'!$B$7*G72+'Kalibracja — parametry'!$B$8*J72*L72*P72</x:f>
        <x:v>5.489603000000001</x:v>
      </x:c>
      <x:c r="R72" s="205" t="n">
        <x:f>'Kalibracja — parametry'!$B$6*(F72+H72)+'Kalibracja — parametry'!$B$7*(G72+I72)+'Kalibracja — parametry'!$B$8*(J72+K72)*L72*P72</x:f>
        <x:v>8.529206</x:v>
      </x:c>
      <x:c r="S72" s="205" t="n">
        <x:f>Q72+R72</x:f>
        <x:v>14.018809000000001</x:v>
      </x:c>
      <x:c r="T72" s="181" t="n">
        <x:f>IFERROR(S72/'Kalibracja — parametry'!$B$10-1,0)</x:f>
        <x:v>-0.19253003790016943</x:v>
      </x:c>
      <x:c r="U72" t="str">
        <x:f>IF(T72&gt;'Kalibracja — parametry'!$B$11,"WYSOKA",IF(T72&lt; -'Kalibracja — parametry'!$B$11,"NISKA","W PASMIE"))</x:f>
        <x:v>NISKA</x:v>
      </x:c>
      <x:c r="V72" s="91" t="str">
        <x:v>—</x:v>
      </x:c>
      <x:c r="W72" t="str"/>
      <x:c r="X72" t="str">
        <x:v>Suma obrażeń / leczenia / pancerza</x:v>
      </x:c>
      <x:c r="Y72" s="180" t="n">
        <x:f>R72/(1+'Kalibracja — parametry'!$B$12)^'Kalibracja — parametry'!$B$9</x:f>
        <x:v>5.46430127311493</x:v>
      </x:c>
      <x:c r="Z72" s="181" t="n">
        <x:f>IFERROR(Y72/Q72-1,0)</x:f>
        <x:v>-0.004609026715606035</x:v>
      </x:c>
    </x:row>
    <x:row r="73">
      <x:c r="A73" t="str">
        <x:f>'Katalog kart'!A73</x:f>
        <x:v>S33</x:v>
      </x:c>
      <x:c r="B73" t="str">
        <x:f>'Katalog kart'!M73</x:f>
        <x:v>Ludzie</x:v>
      </x:c>
      <x:c r="C73" t="str">
        <x:f>'Katalog kart'!D73</x:f>
        <x:v>Strażnik Bram</x:v>
      </x:c>
      <x:c r="D73" t="str">
        <x:f>'Katalog kart'!B73</x:f>
        <x:v>Pasywna</x:v>
      </x:c>
      <x:c r="E73" t="str">
        <x:f>'Katalog kart'!C73</x:f>
        <x:v>Prowokacja</x:v>
      </x:c>
      <x:c r="F73" t="n">
        <x:f>'Katalog kart'!E73</x:f>
        <x:v>2</x:v>
      </x:c>
      <x:c r="G73" t="n">
        <x:f>'Katalog kart'!F73</x:f>
        <x:v>8</x:v>
      </x:c>
      <x:c r="H73" t="n">
        <x:f>'Balans — VP3'!H87*'Kalibracja — parametry'!$B$9+'Balans — VP3'!J87</x:f>
        <x:v>0</x:v>
      </x:c>
      <x:c r="I73" t="n">
        <x:f>'Balans — VP3'!I87*'Kalibracja — parametry'!$B$9+'Balans — VP3'!K87</x:f>
        <x:v>9</x:v>
      </x:c>
      <x:c r="J73" s="207" t="n">
        <x:v>1</x:v>
      </x:c>
      <x:c r="K73" s="207" t="n">
        <x:v>0</x:v>
      </x:c>
      <x:c r="L73" s="180" t="n">
        <x:f>IFERROR(VLOOKUP(E73,'Kalibracja — parametry'!$A$18:$G$31,2,FALSE),0)</x:f>
        <x:v>1.4</x:v>
      </x:c>
      <x:c r="M73" s="180" t="n">
        <x:f>IFERROR(VLOOKUP(E73,'Kalibracja — parametry'!$A$18:$G$31,3,FALSE),0)</x:f>
        <x:v>0.68</x:v>
      </x:c>
      <x:c r="N73" s="180" t="n">
        <x:f>IFERROR(VLOOKUP(E73,'Kalibracja — parametry'!$A$18:$G$31,4,FALSE),0)</x:f>
        <x:v>0.38</x:v>
      </x:c>
      <x:c r="O73" s="180" t="n">
        <x:f>IFERROR(VLOOKUP(D73,'Kalibracja — parametry'!$A$35:$D$39,2,FALSE),0)</x:f>
        <x:v>1.5</x:v>
      </x:c>
      <x:c r="P73" s="180" t="n">
        <x:f>M73*IF(O73&lt;=1,O73,1+(O73-1)*N73)</x:f>
        <x:v>0.8092</x:v>
      </x:c>
      <x:c r="Q73" s="205" t="n">
        <x:f>'Kalibracja — parametry'!$B$6*F73+'Kalibracja — parametry'!$B$7*G73+'Kalibracja — parametry'!$B$8*J73*L73*P73</x:f>
        <x:v>6.73288</x:v>
      </x:c>
      <x:c r="R73" s="205" t="n">
        <x:f>'Kalibracja — parametry'!$B$6*(F73+H73)+'Kalibracja — parametry'!$B$7*(G73+I73)+'Kalibracja — parametry'!$B$8*(J73+K73)*L73*P73</x:f>
        <x:v>10.78288</x:v>
      </x:c>
      <x:c r="S73" s="205" t="n">
        <x:f>Q73+R73</x:f>
        <x:v>17.51576</x:v>
      </x:c>
      <x:c r="T73" s="181" t="n">
        <x:f>IFERROR(S73/'Kalibracja — parametry'!$B$10-1,0)</x:f>
        <x:v>0.008890988053958715</x:v>
      </x:c>
      <x:c r="U73" t="str">
        <x:f>IF(T73&gt;'Kalibracja — parametry'!$B$11,"WYSOKA",IF(T73&lt; -'Kalibracja — parametry'!$B$11,"NISKA","W PASMIE"))</x:f>
        <x:v>W PASMIE</x:v>
      </x:c>
      <x:c r="V73" s="91" t="str">
        <x:v>UWAGA: kontrola celów</x:v>
      </x:c>
      <x:c r="W73" t="str">
        <x:v>Stała prowokacja wpływa na wszystkie ataki jednostek.</x:v>
      </x:c>
      <x:c r="X73" t="str">
        <x:v>Jeden status lub możliwość</x:v>
      </x:c>
      <x:c r="Y73" s="180" t="n">
        <x:f>R73/(1+'Kalibracja — parametry'!$B$12)^'Kalibracja — parametry'!$B$9</x:f>
        <x:v>6.9081348148755595</x:v>
      </x:c>
      <x:c r="Z73" s="181" t="n">
        <x:f>IFERROR(Y73/Q73-1,0)</x:f>
        <x:v>0.026029695297637767</x:v>
      </x:c>
    </x:row>
    <x:row r="74">
      <x:c r="A74" t="str">
        <x:f>'Katalog kart'!A74</x:f>
        <x:v>S111</x:v>
      </x:c>
      <x:c r="B74" t="str">
        <x:f>'Katalog kart'!M74</x:f>
        <x:v>Ludzie</x:v>
      </x:c>
      <x:c r="C74" t="str">
        <x:f>'Katalog kart'!D74</x:f>
        <x:v>Chirurg Frontowy</x:v>
      </x:c>
      <x:c r="D74" t="str">
        <x:f>'Katalog kart'!B74</x:f>
        <x:v>Pasywna</x:v>
      </x:c>
      <x:c r="E74" t="str">
        <x:f>'Katalog kart'!C74</x:f>
        <x:v>Oczyszczanie</x:v>
      </x:c>
      <x:c r="F74" t="n">
        <x:f>'Katalog kart'!E74</x:f>
        <x:v>2</x:v>
      </x:c>
      <x:c r="G74" t="n">
        <x:f>'Katalog kart'!F74</x:f>
        <x:v>7</x:v>
      </x:c>
      <x:c r="H74" t="n">
        <x:f>'Balans — VP3'!H88*'Kalibracja — parametry'!$B$9+'Balans — VP3'!J88</x:f>
        <x:v>3</x:v>
      </x:c>
      <x:c r="I74" t="n">
        <x:f>'Balans — VP3'!I88*'Kalibracja — parametry'!$B$9+'Balans — VP3'!K88</x:f>
        <x:v>3</x:v>
      </x:c>
      <x:c r="J74" s="207" t="n">
        <x:v>1</x:v>
      </x:c>
      <x:c r="K74" s="207" t="n">
        <x:v>0</x:v>
      </x:c>
      <x:c r="L74" s="180" t="n">
        <x:f>IFERROR(VLOOKUP(E74,'Kalibracja — parametry'!$A$18:$G$31,2,FALSE),0)</x:f>
        <x:v>1.55</x:v>
      </x:c>
      <x:c r="M74" s="180" t="n">
        <x:f>IFERROR(VLOOKUP(E74,'Kalibracja — parametry'!$A$18:$G$31,3,FALSE),0)</x:f>
        <x:v>0.45</x:v>
      </x:c>
      <x:c r="N74" s="180" t="n">
        <x:f>IFERROR(VLOOKUP(E74,'Kalibracja — parametry'!$A$18:$G$31,4,FALSE),0)</x:f>
        <x:v>0.45</x:v>
      </x:c>
      <x:c r="O74" s="180" t="n">
        <x:f>IFERROR(VLOOKUP(D74,'Kalibracja — parametry'!$A$35:$D$39,2,FALSE),0)</x:f>
        <x:v>1.5</x:v>
      </x:c>
      <x:c r="P74" s="180" t="n">
        <x:f>M74*IF(O74&lt;=1,O74,1+(O74-1)*N74)</x:f>
        <x:v>0.55125</x:v>
      </x:c>
      <x:c r="Q74" s="205" t="n">
        <x:f>'Kalibracja — parametry'!$B$6*F74+'Kalibracja — parametry'!$B$7*G74+'Kalibracja — parametry'!$B$8*J74*L74*P74</x:f>
        <x:v>6.004437500000001</x:v>
      </x:c>
      <x:c r="R74" s="205" t="n">
        <x:f>'Kalibracja — parametry'!$B$6*(F74+H74)+'Kalibracja — parametry'!$B$7*(G74+I74)+'Kalibracja — parametry'!$B$8*(J74+K74)*L74*P74</x:f>
        <x:v>10.3544375</x:v>
      </x:c>
      <x:c r="S74" s="205" t="n">
        <x:f>Q74+R74</x:f>
        <x:v>16.358875</x:v>
      </x:c>
      <x:c r="T74" s="181" t="n">
        <x:f>IFERROR(S74/'Kalibracja — parametry'!$B$10-1,0)</x:f>
        <x:v>-0.05774447913186731</x:v>
      </x:c>
      <x:c r="U74" t="str">
        <x:f>IF(T74&gt;'Kalibracja — parametry'!$B$11,"WYSOKA",IF(T74&lt; -'Kalibracja — parametry'!$B$11,"NISKA","W PASMIE"))</x:f>
        <x:v>W PASMIE</x:v>
      </x:c>
      <x:c r="V74" s="91" t="str">
        <x:v>—</x:v>
      </x:c>
      <x:c r="W74" t="str">
        <x:v>ULEPSZENIE PO 3T DO ZDEFINIOWANIA</x:v>
      </x:c>
      <x:c r="X74" t="str">
        <x:v>Jeden status lub możliwość</x:v>
      </x:c>
      <x:c r="Y74" s="180" t="n">
        <x:f>R74/(1+'Kalibracja — parametry'!$B$12)^'Kalibracja — parametry'!$B$9</x:f>
        <x:v>6.633649839579319</x:v>
      </x:c>
      <x:c r="Z74" s="181" t="n">
        <x:f>IFERROR(Y74/Q74-1,0)</x:f>
        <x:v>0.10479122142237607</x:v>
      </x:c>
    </x:row>
    <x:row r="75">
      <x:c r="A75" t="str">
        <x:f>'Katalog kart'!A75</x:f>
        <x:v>S39</x:v>
      </x:c>
      <x:c r="B75" t="str">
        <x:f>'Katalog kart'!M75</x:f>
        <x:v>Ludzie</x:v>
      </x:c>
      <x:c r="C75" t="str">
        <x:f>'Katalog kart'!D75</x:f>
        <x:v>Alchemik Antytoksyk</x:v>
      </x:c>
      <x:c r="D75" t="str">
        <x:f>'Katalog kart'!B75</x:f>
        <x:v>Pasywna</x:v>
      </x:c>
      <x:c r="E75" t="str">
        <x:f>'Katalog kart'!C75</x:f>
        <x:v>Odporność</x:v>
      </x:c>
      <x:c r="F75" t="n">
        <x:f>'Katalog kart'!E75</x:f>
        <x:v>4</x:v>
      </x:c>
      <x:c r="G75" t="n">
        <x:f>'Katalog kart'!F75</x:f>
        <x:v>7</x:v>
      </x:c>
      <x:c r="H75" t="n">
        <x:f>'Balans — VP3'!H89*'Kalibracja — parametry'!$B$9+'Balans — VP3'!J89</x:f>
        <x:v>0</x:v>
      </x:c>
      <x:c r="I75" t="n">
        <x:f>'Balans — VP3'!I89*'Kalibracja — parametry'!$B$9+'Balans — VP3'!K89</x:f>
        <x:v>6</x:v>
      </x:c>
      <x:c r="J75" s="207" t="n">
        <x:v>1</x:v>
      </x:c>
      <x:c r="K75" s="207" t="n">
        <x:v>0</x:v>
      </x:c>
      <x:c r="L75" s="180" t="n">
        <x:f>IFERROR(VLOOKUP(E75,'Kalibracja — parametry'!$A$18:$G$31,2,FALSE),0)</x:f>
        <x:v>1.2</x:v>
      </x:c>
      <x:c r="M75" s="180" t="n">
        <x:f>IFERROR(VLOOKUP(E75,'Kalibracja — parametry'!$A$18:$G$31,3,FALSE),0)</x:f>
        <x:v>0.55</x:v>
      </x:c>
      <x:c r="N75" s="180" t="n">
        <x:f>IFERROR(VLOOKUP(E75,'Kalibracja — parametry'!$A$18:$G$31,4,FALSE),0)</x:f>
        <x:v>0.38</x:v>
      </x:c>
      <x:c r="O75" s="180" t="n">
        <x:f>IFERROR(VLOOKUP(D75,'Kalibracja — parametry'!$A$35:$D$39,2,FALSE),0)</x:f>
        <x:v>1.5</x:v>
      </x:c>
      <x:c r="P75" s="180" t="n">
        <x:f>M75*IF(O75&lt;=1,O75,1+(O75-1)*N75)</x:f>
        <x:v>0.6545</x:v>
      </x:c>
      <x:c r="Q75" s="205" t="n">
        <x:f>'Kalibracja — parametry'!$B$6*F75+'Kalibracja — parametry'!$B$7*G75+'Kalibracja — parametry'!$B$8*J75*L75*P75</x:f>
        <x:v>7.9354000000000005</x:v>
      </x:c>
      <x:c r="R75" s="205" t="n">
        <x:f>'Kalibracja — parametry'!$B$6*(F75+H75)+'Kalibracja — parametry'!$B$7*(G75+I75)+'Kalibracja — parametry'!$B$8*(J75+K75)*L75*P75</x:f>
        <x:v>10.6354</x:v>
      </x:c>
      <x:c r="S75" s="205" t="n">
        <x:f>Q75+R75</x:f>
        <x:v>18.570800000000002</x:v>
      </x:c>
      <x:c r="T75" s="181" t="n">
        <x:f>IFERROR(S75/'Kalibracja — parametry'!$B$10-1,0)</x:f>
        <x:v>0.06966028085292653</x:v>
      </x:c>
      <x:c r="U75" t="str">
        <x:f>IF(T75&gt;'Kalibracja — parametry'!$B$11,"WYSOKA",IF(T75&lt; -'Kalibracja — parametry'!$B$11,"NISKA","W PASMIE"))</x:f>
        <x:v>W PASMIE</x:v>
      </x:c>
      <x:c r="V75" s="91" t="str">
        <x:v>—</x:v>
      </x:c>
      <x:c r="W75" t="str">
        <x:v>ULEPSZENIE PO 3T DO ZDEFINIOWANIA</x:v>
      </x:c>
      <x:c r="X75" t="str">
        <x:v>Jeden status lub możliwość</x:v>
      </x:c>
      <x:c r="Y75" s="180" t="n">
        <x:f>R75/(1+'Kalibracja — parametry'!$B$12)^'Kalibracja — parametry'!$B$9</x:f>
        <x:v>6.813650621181681</x:v>
      </x:c>
      <x:c r="Z75" s="181" t="n">
        <x:f>IFERROR(Y75/Q75-1,0)</x:f>
        <x:v>-0.1413601556088312</x:v>
      </x:c>
    </x:row>
    <x:row r="76">
      <x:c r="A76" t="str">
        <x:f>'Katalog kart'!A76</x:f>
        <x:v>S114</x:v>
      </x:c>
      <x:c r="B76" t="str">
        <x:f>'Katalog kart'!M76</x:f>
        <x:v>Ludzie</x:v>
      </x:c>
      <x:c r="C76" t="str">
        <x:f>'Katalog kart'!D76</x:f>
        <x:v>Instruktor Błyskawicznego Natarcia</x:v>
      </x:c>
      <x:c r="D76" t="str">
        <x:f>'Katalog kart'!B76</x:f>
        <x:v>Pasywna</x:v>
      </x:c>
      <x:c r="E76" t="str">
        <x:f>'Katalog kart'!C76</x:f>
        <x:v>Szybki atak</x:v>
      </x:c>
      <x:c r="F76" t="n">
        <x:f>'Katalog kart'!E76</x:f>
        <x:v>1</x:v>
      </x:c>
      <x:c r="G76" t="n">
        <x:f>'Katalog kart'!F76</x:f>
        <x:v>4</x:v>
      </x:c>
      <x:c r="H76" t="n">
        <x:f>'Balans — VP3'!H90*'Kalibracja — parametry'!$B$9+'Balans — VP3'!J90</x:f>
        <x:v>8</x:v>
      </x:c>
      <x:c r="I76" t="n">
        <x:f>'Balans — VP3'!I90*'Kalibracja — parametry'!$B$9+'Balans — VP3'!K90</x:f>
        <x:v>1</x:v>
      </x:c>
      <x:c r="J76" s="207" t="n">
        <x:v>1</x:v>
      </x:c>
      <x:c r="K76" s="207" t="n">
        <x:v>0</x:v>
      </x:c>
      <x:c r="L76" s="180" t="n">
        <x:f>IFERROR(VLOOKUP(E76,'Kalibracja — parametry'!$A$18:$G$31,2,FALSE),0)</x:f>
        <x:v>1.8</x:v>
      </x:c>
      <x:c r="M76" s="180" t="n">
        <x:f>IFERROR(VLOOKUP(E76,'Kalibracja — parametry'!$A$18:$G$31,3,FALSE),0)</x:f>
        <x:v>0.58</x:v>
      </x:c>
      <x:c r="N76" s="180" t="n">
        <x:f>IFERROR(VLOOKUP(E76,'Kalibracja — parametry'!$A$18:$G$31,4,FALSE),0)</x:f>
        <x:v>0.37</x:v>
      </x:c>
      <x:c r="O76" s="180" t="n">
        <x:f>IFERROR(VLOOKUP(D76,'Kalibracja — parametry'!$A$35:$D$39,2,FALSE),0)</x:f>
        <x:v>1.5</x:v>
      </x:c>
      <x:c r="P76" s="180" t="n">
        <x:f>M76*IF(O76&lt;=1,O76,1+(O76-1)*N76)</x:f>
        <x:v>0.6873</x:v>
      </x:c>
      <x:c r="Q76" s="205" t="n">
        <x:f>'Kalibracja — parametry'!$B$6*F76+'Kalibracja — parametry'!$B$7*G76+'Kalibracja — parametry'!$B$8*J76*L76*P76</x:f>
        <x:v>4.03714</x:v>
      </x:c>
      <x:c r="R76" s="205" t="n">
        <x:f>'Kalibracja — parametry'!$B$6*(F76+H76)+'Kalibracja — parametry'!$B$7*(G76+I76)+'Kalibracja — parametry'!$B$8*(J76+K76)*L76*P76</x:f>
        <x:v>12.48714</x:v>
      </x:c>
      <x:c r="S76" s="205" t="n">
        <x:f>Q76+R76</x:f>
        <x:v>16.52428</x:v>
      </x:c>
      <x:c r="T76" s="181" t="n">
        <x:f>IFERROR(S76/'Kalibracja — parametry'!$B$10-1,0)</x:f>
        <x:v>-0.04821730966396731</x:v>
      </x:c>
      <x:c r="U76" t="str">
        <x:f>IF(T76&gt;'Kalibracja — parametry'!$B$11,"WYSOKA",IF(T76&lt; -'Kalibracja — parametry'!$B$11,"NISKA","W PASMIE"))</x:f>
        <x:v>W PASMIE</x:v>
      </x:c>
      <x:c r="V76" s="91" t="str">
        <x:v>—</x:v>
      </x:c>
      <x:c r="W76" t="str">
        <x:v>Premia co 3T jest w statystykach, nie w liczbie ładunków/ataków.</x:v>
      </x:c>
      <x:c r="X76" t="str">
        <x:v>Jeden status lub możliwość</x:v>
      </x:c>
      <x:c r="Y76" s="180" t="n">
        <x:f>R76/(1+'Kalibracja — parametry'!$B$12)^'Kalibracja — parametry'!$B$9</x:f>
        <x:v>7.999982061585142</x:v>
      </x:c>
      <x:c r="Z76" s="181" t="n">
        <x:f>IFERROR(Y76/Q76-1,0)</x:f>
        <x:v>0.9815963928883173</x:v>
      </x:c>
    </x:row>
    <x:row r="77">
      <x:c r="A77" t="str">
        <x:f>'Katalog kart'!A77</x:f>
        <x:v>S115</x:v>
      </x:c>
      <x:c r="B77" t="str">
        <x:f>'Katalog kart'!M77</x:f>
        <x:v>Ludzie</x:v>
      </x:c>
      <x:c r="C77" t="str">
        <x:f>'Katalog kart'!D77</x:f>
        <x:v>Mistrz Dwóch Ostrzy</x:v>
      </x:c>
      <x:c r="D77" t="str">
        <x:f>'Katalog kart'!B77</x:f>
        <x:v>Pasywna</x:v>
      </x:c>
      <x:c r="E77" t="str">
        <x:f>'Katalog kart'!C77</x:f>
        <x:v>Podwójny atak</x:v>
      </x:c>
      <x:c r="F77" t="n">
        <x:f>'Katalog kart'!E77</x:f>
        <x:v>1</x:v>
      </x:c>
      <x:c r="G77" t="n">
        <x:f>'Katalog kart'!F77</x:f>
        <x:v>5</x:v>
      </x:c>
      <x:c r="H77" t="n">
        <x:f>'Balans — VP3'!H91*'Kalibracja — parametry'!$B$9+'Balans — VP3'!J91</x:f>
        <x:v>8</x:v>
      </x:c>
      <x:c r="I77" t="n">
        <x:f>'Balans — VP3'!I91*'Kalibracja — parametry'!$B$9+'Balans — VP3'!K91</x:f>
        <x:v>0</x:v>
      </x:c>
      <x:c r="J77" s="207" t="n">
        <x:v>1</x:v>
      </x:c>
      <x:c r="K77" s="207" t="n">
        <x:v>0</x:v>
      </x:c>
      <x:c r="L77" s="180" t="n">
        <x:f>IFERROR(VLOOKUP(E77,'Kalibracja — parametry'!$A$18:$G$31,2,FALSE),0)</x:f>
        <x:v>2.55</x:v>
      </x:c>
      <x:c r="M77" s="180" t="n">
        <x:f>IFERROR(VLOOKUP(E77,'Kalibracja — parametry'!$A$18:$G$31,3,FALSE),0)</x:f>
        <x:v>0.68</x:v>
      </x:c>
      <x:c r="N77" s="180" t="n">
        <x:f>IFERROR(VLOOKUP(E77,'Kalibracja — parametry'!$A$18:$G$31,4,FALSE),0)</x:f>
        <x:v>0.53</x:v>
      </x:c>
      <x:c r="O77" s="180" t="n">
        <x:f>IFERROR(VLOOKUP(D77,'Kalibracja — parametry'!$A$35:$D$39,2,FALSE),0)</x:f>
        <x:v>1.5</x:v>
      </x:c>
      <x:c r="P77" s="180" t="n">
        <x:f>M77*IF(O77&lt;=1,O77,1+(O77-1)*N77)</x:f>
        <x:v>0.8602000000000002</x:v>
      </x:c>
      <x:c r="Q77" s="205" t="n">
        <x:f>'Kalibracja — parametry'!$B$6*F77+'Kalibracja — parametry'!$B$7*G77+'Kalibracja — parametry'!$B$8*J77*L77*P77</x:f>
        <x:v>5.44351</x:v>
      </x:c>
      <x:c r="R77" s="205" t="n">
        <x:f>'Kalibracja — parametry'!$B$6*(F77+H77)+'Kalibracja — parametry'!$B$7*(G77+I77)+'Kalibracja — parametry'!$B$8*(J77+K77)*L77*P77</x:f>
        <x:v>13.44351</x:v>
      </x:c>
      <x:c r="S77" s="205" t="n">
        <x:f>Q77+R77</x:f>
        <x:v>18.88702</x:v>
      </x:c>
      <x:c r="T77" s="181" t="n">
        <x:f>IFERROR(S77/'Kalibracja — parametry'!$B$10-1,0)</x:f>
        <x:v>0.08787424977248359</x:v>
      </x:c>
      <x:c r="U77" t="str">
        <x:f>IF(T77&gt;'Kalibracja — parametry'!$B$11,"WYSOKA",IF(T77&lt; -'Kalibracja — parametry'!$B$11,"NISKA","W PASMIE"))</x:f>
        <x:v>W PASMIE</x:v>
      </x:c>
      <x:c r="V77" s="91" t="str">
        <x:v>WYSOKIE: kombinacja</x:v>
      </x:c>
      <x:c r="W77" t="str">
        <x:v>Trwały podwójny atak może znacznie zwiększyć obrażenia.</x:v>
      </x:c>
      <x:c r="X77" t="str">
        <x:v>Jeden status lub możliwość</x:v>
      </x:c>
      <x:c r="Y77" s="180" t="n">
        <x:f>R77/(1+'Kalibracja — parametry'!$B$12)^'Kalibracja — parametry'!$B$9</x:f>
        <x:v>8.612687840829883</x:v>
      </x:c>
      <x:c r="Z77" s="181" t="n">
        <x:f>IFERROR(Y77/Q77-1,0)</x:f>
        <x:v>0.5821938126006718</x:v>
      </x:c>
    </x:row>
  </x:sheetData>
  <x:mergeCells>
    <x:mergeCell ref="A1:Z1"/>
  </x:mergeCells>
  <x:conditionalFormatting sqref="T8:T77">
    <x:cfRule type="colorScale" priority="1">
      <x:colorScale>
        <x:cfvo type="min"/>
        <x:cfvo type="percentile" val="50"/>
        <x:cfvo type="max"/>
        <x:color rgb="FFFEE2E2"/>
        <x:color rgb="FFFFFFFF"/>
        <x:color rgb="FFCDEDE2"/>
      </x:colorScale>
    </x:cfRule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workbookViewId="0">
      <x:pane ySplit="14" topLeftCell="A15" activePane="bottomLef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9" hidden="0" customWidth="1"/>
    <x:col min="4" max="4" width="19" hidden="0" customWidth="1"/>
    <x:col min="5" max="5" width="20" hidden="0" customWidth="1"/>
    <x:col min="6" max="6" width="22" hidden="0" customWidth="1"/>
    <x:col min="7" max="7" width="27" hidden="0" customWidth="1"/>
    <x:col min="8" max="8" width="67" hidden="0" customWidth="1"/>
    <x:col min="9" max="9" width="18" hidden="0" customWidth="1"/>
    <x:col min="10" max="10" width="20" hidden="0" customWidth="1"/>
  </x:cols>
  <x:sheetData>
    <x:row r="1" ht="31" customHeight="1">
      <x:c r="A1" s="193" t="str">
        <x:v>DIAGNOZA BALANSU | 70 KART | MODEL WARTOŚCI ZDOLNOŚCI</x:v>
      </x:c>
      <x:c r="B1" s="193"/>
      <x:c r="C1" s="193"/>
      <x:c r="D1" s="193"/>
      <x:c r="E1" s="193"/>
      <x:c r="F1" s="193"/>
      <x:c r="G1" s="193"/>
      <x:c r="H1" s="193"/>
      <x:c r="I1" s="193"/>
      <x:c r="J1" s="193"/>
    </x:row>
    <x:row r="2" ht="23" customHeight="1">
      <x:c r="A2" t="str">
        <x:v>HISTORYCZNY / POMOCNICZY ARKUSZ V12 — aktualny balans i wyniki symulacji w „Balans V13 — 70 kart”.</x:v>
      </x:c>
    </x:row>
    <x:row r="3" ht="23" customHeight="1">
      <x:c r="A3" t="str">
        <x:v>WAŻNE: mniejsza liczba w modelu nie oznacza automatycznie, że status lub synergia jest bezpieczna w grze.</x:v>
      </x:c>
    </x:row>
    <x:row r="5" ht="30" customHeight="1">
      <x:c r="A5" s="197" t="str">
        <x:v>Wskaźnik</x:v>
      </x:c>
      <x:c r="B5" s="197" t="str">
        <x:v>Wynik</x:v>
      </x:c>
      <x:c r="C5" s="197" t="str">
        <x:v>Znaczenie</x:v>
      </x:c>
    </x:row>
    <x:row r="6">
      <x:c r="A6" t="str">
        <x:v>Mediana Value 0+3</x:v>
      </x:c>
      <x:c r="B6" s="180" t="n">
        <x:f>'Kalibracja — parametry'!$B$10</x:f>
        <x:v>17.361400000000003</x:v>
      </x:c>
      <x:c r="C6" t="str">
        <x:v>Wspólny cel do strojenia</x:v>
      </x:c>
    </x:row>
    <x:row r="7">
      <x:c r="A7" t="str">
        <x:v>Kart w tolerancji</x:v>
      </x:c>
      <x:c r="B7" t="n">
        <x:f>COUNTIF('Kalibracja — 70 kart'!$U$8:$U$77,"W PASMIE")</x:f>
        <x:v>54</x:v>
      </x:c>
      <x:c r="C7" t="str">
        <x:v>Liczba kart z odchyleniem ≤12%</x:v>
      </x:c>
    </x:row>
    <x:row r="8">
      <x:c r="A8" t="str">
        <x:v>Kart z nadmiarem</x:v>
      </x:c>
      <x:c r="B8" t="n">
        <x:f>COUNTIF('Kalibracja — 70 kart'!$U$8:$U$77,"WYSOKA")</x:f>
        <x:v>5</x:v>
      </x:c>
      <x:c r="C8" t="str">
        <x:v>Powyżej tolerancji</x:v>
      </x:c>
    </x:row>
    <x:row r="9">
      <x:c r="A9" t="str">
        <x:v>Kart z niedomiarem</x:v>
      </x:c>
      <x:c r="B9" t="n">
        <x:f>COUNTIF('Kalibracja — 70 kart'!$U$8:$U$77,"NISKA")</x:f>
        <x:v>11</x:v>
      </x:c>
      <x:c r="C9" t="str">
        <x:v>Poniżej tolerancji</x:v>
      </x:c>
    </x:row>
    <x:row r="10">
      <x:c r="A10" t="str">
        <x:v>Kart z alertem ryzyka</x:v>
      </x:c>
      <x:c r="B10" t="n">
        <x:f>COUNTIF('Kalibracja — 70 kart'!$V$8:$V$77,"&lt;&gt;—")</x:f>
        <x:v>11</x:v>
      </x:c>
      <x:c r="C10" t="str">
        <x:v>Niezależnie od sumy Value</x:v>
      </x:c>
    </x:row>
    <x:row r="13">
      <x:c r="A13" t="str">
        <x:v>PIĘĆ WCZEŚNIEJSZYCH PROBLEMATYCZNYCH KRASNOLUDÓW</x:v>
      </x:c>
      <x:c r="B13" t="str"/>
      <x:c r="C13" t="str"/>
      <x:c r="D13" t="str"/>
      <x:c r="E13" t="str"/>
      <x:c r="F13" t="str"/>
      <x:c r="G13" t="str"/>
      <x:c r="H13" t="str"/>
    </x:row>
    <x:row r="14" ht="31" customHeight="1">
      <x:c r="A14" s="197" t="str">
        <x:v>ID</x:v>
      </x:c>
      <x:c r="B14" s="197" t="str">
        <x:v>Archetyp</x:v>
      </x:c>
      <x:c r="C14" s="197" t="str">
        <x:v>Stare V0+V3</x:v>
      </x:c>
      <x:c r="D14" s="197" t="str">
        <x:v>Nowe V0+V3</x:v>
      </x:c>
      <x:c r="E14" s="197" t="str">
        <x:v>Nowe odchylenie</x:v>
      </x:c>
      <x:c r="F14" s="197" t="str">
        <x:v>Ocena wg modelu</x:v>
      </x:c>
      <x:c r="G14" s="197" t="str">
        <x:v>Ryzyko niezależne</x:v>
      </x:c>
      <x:c r="H14" s="197" t="str">
        <x:v>Wyjaśnienie</x:v>
      </x:c>
    </x:row>
    <x:row r="15" ht="31" customHeight="1">
      <x:c r="A15" t="str">
        <x:v>S102</x:v>
      </x:c>
      <x:c r="B15" t="str">
        <x:f>IFERROR(INDEX('Kalibracja — 70 kart'!$C$8:$C$77,MATCH(A15,'Kalibracja — 70 kart'!$A$8:$A$77,0)),"")</x:f>
        <x:v>Mechanik Dwóch Ostrzy</x:v>
      </x:c>
      <x:c r="C15" s="180" t="n">
        <x:f>IFERROR(INDEX('Balans — suma V0 V3'!$H$9:$H$78,MATCH(A15,'Balans — suma V0 V3'!$A$9:$A$78,0)),0)</x:f>
        <x:v>30.5</x:v>
      </x:c>
      <x:c r="D15" s="210" t="n">
        <x:f>IFERROR(INDEX('Kalibracja — 70 kart'!$S$8:$S$77,MATCH(A15,'Kalibracja — 70 kart'!$A$8:$A$77,0)),0)</x:f>
        <x:v>20.72506</x:v>
      </x:c>
      <x:c r="E15" s="209" t="n">
        <x:f>IFERROR(INDEX('Kalibracja — 70 kart'!$T$8:$T$77,MATCH(A15,'Kalibracja — 70 kart'!$A$8:$A$77,0)),0)</x:f>
        <x:v>0.19374359210662706</x:v>
      </x:c>
      <x:c r="F15" t="str">
        <x:f>IFERROR(INDEX('Kalibracja — 70 kart'!$U$8:$U$77,MATCH(A15,'Kalibracja — 70 kart'!$A$8:$A$77,0)),"")</x:f>
        <x:v>WYSOKA</x:v>
      </x:c>
      <x:c r="G15" t="str">
        <x:f>IFERROR(INDEX('Kalibracja — 70 kart'!$V$8:$V$77,MATCH(A15,'Kalibracja — 70 kart'!$A$8:$A$77,0)),"")</x:f>
        <x:v>WYSOKIE: kombinacja</x:v>
      </x:c>
      <x:c r="H15" s="91" t="str">
        <x:v>Dwa ataki nie oznaczają drugiej aktywacji bez legalnego celu; sprawdzić combo.</x:v>
      </x:c>
    </x:row>
    <x:row r="16" ht="31" customHeight="1">
      <x:c r="A16" t="str">
        <x:v>S101</x:v>
      </x:c>
      <x:c r="B16" t="str">
        <x:f>IFERROR(INDEX('Kalibracja — 70 kart'!$C$8:$C$77,MATCH(A16,'Kalibracja — 70 kart'!$A$8:$A$77,0)),"")</x:f>
        <x:v>Konstruktor Sprężyn</x:v>
      </x:c>
      <x:c r="C16" s="180" t="n">
        <x:f>IFERROR(INDEX('Balans — suma V0 V3'!$H$9:$H$78,MATCH(A16,'Balans — suma V0 V3'!$A$9:$A$78,0)),0)</x:f>
        <x:v>29.05</x:v>
      </x:c>
      <x:c r="D16" s="210" t="n">
        <x:f>IFERROR(INDEX('Kalibracja — 70 kart'!$S$8:$S$77,MATCH(A16,'Kalibracja — 70 kart'!$A$8:$A$77,0)),0)</x:f>
        <x:v>19.29684</x:v>
      </x:c>
      <x:c r="E16" s="209" t="n">
        <x:f>IFERROR(INDEX('Kalibracja — 70 kart'!$T$8:$T$77,MATCH(A16,'Kalibracja — 70 kart'!$A$8:$A$77,0)),0)</x:f>
        <x:v>0.11147948898130311</x:v>
      </x:c>
      <x:c r="F16" t="str">
        <x:f>IFERROR(INDEX('Kalibracja — 70 kart'!$U$8:$U$77,MATCH(A16,'Kalibracja — 70 kart'!$A$8:$A$77,0)),"")</x:f>
        <x:v>W PASMIE</x:v>
      </x:c>
      <x:c r="G16" t="str">
        <x:f>IFERROR(INDEX('Kalibracja — 70 kart'!$V$8:$V$77,MATCH(A16,'Kalibracja — 70 kart'!$A$8:$A$77,0)),"")</x:f>
        <x:v>WYSOKIE: kombinacja</x:v>
      </x:c>
      <x:c r="H16" s="91" t="str">
        <x:v>Efekt silny, ale wymaga jednostki w ręce i przyszłego wystawienia.</x:v>
      </x:c>
    </x:row>
    <x:row r="17" ht="31" customHeight="1">
      <x:c r="A17" t="str">
        <x:v>S95</x:v>
      </x:c>
      <x:c r="B17" t="str">
        <x:f>IFERROR(INDEX('Kalibracja — 70 kart'!$C$8:$C$77,MATCH(A17,'Kalibracja — 70 kart'!$A$8:$A$77,0)),"")</x:f>
        <x:v>Młotnik Wstrząsów</x:v>
      </x:c>
      <x:c r="C17" s="180" t="n">
        <x:f>IFERROR(INDEX('Balans — suma V0 V3'!$H$9:$H$78,MATCH(A17,'Balans — suma V0 V3'!$A$9:$A$78,0)),0)</x:f>
        <x:v>30.5</x:v>
      </x:c>
      <x:c r="D17" s="210" t="n">
        <x:f>IFERROR(INDEX('Kalibracja — 70 kart'!$S$8:$S$77,MATCH(A17,'Kalibracja — 70 kart'!$A$8:$A$77,0)),0)</x:f>
        <x:v>18.3582</x:v>
      </x:c>
      <x:c r="E17" s="209" t="n">
        <x:f>IFERROR(INDEX('Kalibracja — 70 kart'!$T$8:$T$77,MATCH(A17,'Kalibracja — 70 kart'!$A$8:$A$77,0)),0)</x:f>
        <x:v>0.05741472461898223</x:v>
      </x:c>
      <x:c r="F17" t="str">
        <x:f>IFERROR(INDEX('Kalibracja — 70 kart'!$U$8:$U$77,MATCH(A17,'Kalibracja — 70 kart'!$A$8:$A$77,0)),"")</x:f>
        <x:v>W PASMIE</x:v>
      </x:c>
      <x:c r="G17" t="str">
        <x:f>IFERROR(INDEX('Kalibracja — 70 kart'!$V$8:$V$77,MATCH(A17,'Kalibracja — 70 kart'!$A$8:$A$77,0)),"")</x:f>
        <x:v>KRYTYCZNE: pętla kontroli</x:v>
      </x:c>
      <x:c r="H17" s="91" t="str">
        <x:v>Nie wolno ignorować ryzyka ciągłego stun-locka.</x:v>
      </x:c>
    </x:row>
    <x:row r="18" ht="31" customHeight="1">
      <x:c r="A18" t="str">
        <x:v>S94</x:v>
      </x:c>
      <x:c r="B18" t="str">
        <x:f>IFERROR(INDEX('Kalibracja — 70 kart'!$C$8:$C$77,MATCH(A18,'Kalibracja — 70 kart'!$A$8:$A$77,0)),"")</x:f>
        <x:v>Mistrz Tarczy</x:v>
      </x:c>
      <x:c r="C18" s="180" t="n">
        <x:f>IFERROR(INDEX('Balans — suma V0 V3'!$H$9:$H$78,MATCH(A18,'Balans — suma V0 V3'!$A$9:$A$78,0)),0)</x:f>
        <x:v>28.25</x:v>
      </x:c>
      <x:c r="D18" s="210" t="n">
        <x:f>IFERROR(INDEX('Kalibracja — 70 kart'!$S$8:$S$77,MATCH(A18,'Kalibracja — 70 kart'!$A$8:$A$77,0)),0)</x:f>
        <x:v>17.21506</x:v>
      </x:c>
      <x:c r="E18" s="209" t="n">
        <x:f>IFERROR(INDEX('Kalibracja — 70 kart'!$T$8:$T$77,MATCH(A18,'Kalibracja — 70 kart'!$A$8:$A$77,0)),0)</x:f>
        <x:v>-0.008429043740712294</x:v>
      </x:c>
      <x:c r="F18" t="str">
        <x:f>IFERROR(INDEX('Kalibracja — 70 kart'!$U$8:$U$77,MATCH(A18,'Kalibracja — 70 kart'!$A$8:$A$77,0)),"")</x:f>
        <x:v>W PASMIE</x:v>
      </x:c>
      <x:c r="G18" t="str">
        <x:f>IFERROR(INDEX('Kalibracja — 70 kart'!$V$8:$V$77,MATCH(A18,'Kalibracja — 70 kart'!$A$8:$A$77,0)),"")</x:f>
        <x:v>WYSOKIE: ochrona</x:v>
      </x:c>
      <x:c r="H18" s="91" t="str">
        <x:v>Jedna tarcza na cel ogranicza efektywność wielu aktywacji.</x:v>
      </x:c>
    </x:row>
    <x:row r="19" ht="31" customHeight="1">
      <x:c r="A19" t="str">
        <x:v>S96</x:v>
      </x:c>
      <x:c r="B19" t="str">
        <x:f>IFERROR(INDEX('Kalibracja — 70 kart'!$C$8:$C$77,MATCH(A19,'Kalibracja — 70 kart'!$A$8:$A$77,0)),"")</x:f>
        <x:v>Wartownik Szybu</x:v>
      </x:c>
      <x:c r="C19" s="180" t="n">
        <x:f>IFERROR(INDEX('Balans — suma V0 V3'!$H$9:$H$78,MATCH(A19,'Balans — suma V0 V3'!$A$9:$A$78,0)),0)</x:f>
        <x:v>27.25</x:v>
      </x:c>
      <x:c r="D19" s="210" t="n">
        <x:f>IFERROR(INDEX('Kalibracja — 70 kart'!$S$8:$S$77,MATCH(A19,'Kalibracja — 70 kart'!$A$8:$A$77,0)),0)</x:f>
        <x:v>18.23928</x:v>
      </x:c>
      <x:c r="E19" s="209" t="n">
        <x:f>IFERROR(INDEX('Kalibracja — 70 kart'!$T$8:$T$77,MATCH(A19,'Kalibracja — 70 kart'!$A$8:$A$77,0)),0)</x:f>
        <x:v>0.0505650465976244</x:v>
      </x:c>
      <x:c r="F19" t="str">
        <x:f>IFERROR(INDEX('Kalibracja — 70 kart'!$U$8:$U$77,MATCH(A19,'Kalibracja — 70 kart'!$A$8:$A$77,0)),"")</x:f>
        <x:v>W PASMIE</x:v>
      </x:c>
      <x:c r="G19" t="str">
        <x:f>IFERROR(INDEX('Kalibracja — 70 kart'!$V$8:$V$77,MATCH(A19,'Kalibracja — 70 kart'!$A$8:$A$77,0)),"")</x:f>
        <x:v>UWAGA: blokada celów</x:v>
      </x:c>
      <x:c r="H19" s="91" t="str">
        <x:v>Skuteczność prowokacji zależy od celu i planów przeciwnika.</x:v>
      </x:c>
    </x:row>
    <x:row r="23">
      <x:c r="A23" t="str">
        <x:v>PORÓWNANIE WG FRAKCJI</x:v>
      </x:c>
      <x:c r="B23" t="str"/>
      <x:c r="C23" t="str"/>
      <x:c r="D23" t="str"/>
      <x:c r="E23" t="str"/>
      <x:c r="F23" t="str"/>
    </x:row>
    <x:row r="24" ht="30" customHeight="1">
      <x:c r="A24" s="197" t="str">
        <x:v>Frakcja</x:v>
      </x:c>
      <x:c r="B24" s="197" t="str">
        <x:v>Liczba kart</x:v>
      </x:c>
      <x:c r="C24" s="197" t="str">
        <x:v>W PASMIE</x:v>
      </x:c>
      <x:c r="D24" s="197" t="str">
        <x:v>WYSOKA</x:v>
      </x:c>
      <x:c r="E24" s="197" t="str">
        <x:v>NISKA</x:v>
      </x:c>
      <x:c r="F24" s="197" t="str">
        <x:v>Alert ryzyka</x:v>
      </x:c>
    </x:row>
    <x:row r="25">
      <x:c r="A25" t="str">
        <x:v>Elfy</x:v>
      </x:c>
      <x:c r="B25" t="n">
        <x:f>COUNTIF('Kalibracja — 70 kart'!$B$8:$B$77,A25)</x:f>
        <x:v>14</x:v>
      </x:c>
      <x:c r="C25" t="n">
        <x:f>COUNTIFS('Kalibracja — 70 kart'!$B$8:$B$77,A25,'Kalibracja — 70 kart'!$U$8:$U$77,"W PASMIE")</x:f>
        <x:v>12</x:v>
      </x:c>
      <x:c r="D25" t="n">
        <x:f>COUNTIFS('Kalibracja — 70 kart'!$B$8:$B$77,A25,'Kalibracja — 70 kart'!$U$8:$U$77,"WYSOKA")</x:f>
        <x:v>0</x:v>
      </x:c>
      <x:c r="E25" t="n">
        <x:f>COUNTIFS('Kalibracja — 70 kart'!$B$8:$B$77,A25,'Kalibracja — 70 kart'!$U$8:$U$77,"NISKA")</x:f>
        <x:v>2</x:v>
      </x:c>
      <x:c r="F25" t="n">
        <x:f>COUNTIFS('Kalibracja — 70 kart'!$B$8:$B$77,A25,'Kalibracja — 70 kart'!$V$8:$V$77,"&lt;&gt;—")</x:f>
        <x:v>0</x:v>
      </x:c>
    </x:row>
    <x:row r="26">
      <x:c r="A26" t="str">
        <x:v>Dzikie bestie</x:v>
      </x:c>
      <x:c r="B26" t="n">
        <x:f>COUNTIF('Kalibracja — 70 kart'!$B$8:$B$77,A26)</x:f>
        <x:v>14</x:v>
      </x:c>
      <x:c r="C26" t="n">
        <x:f>COUNTIFS('Kalibracja — 70 kart'!$B$8:$B$77,A26,'Kalibracja — 70 kart'!$U$8:$U$77,"W PASMIE")</x:f>
        <x:v>11</x:v>
      </x:c>
      <x:c r="D26" t="n">
        <x:f>COUNTIFS('Kalibracja — 70 kart'!$B$8:$B$77,A26,'Kalibracja — 70 kart'!$U$8:$U$77,"WYSOKA")</x:f>
        <x:v>0</x:v>
      </x:c>
      <x:c r="E26" t="n">
        <x:f>COUNTIFS('Kalibracja — 70 kart'!$B$8:$B$77,A26,'Kalibracja — 70 kart'!$U$8:$U$77,"NISKA")</x:f>
        <x:v>3</x:v>
      </x:c>
      <x:c r="F26" t="n">
        <x:f>COUNTIFS('Kalibracja — 70 kart'!$B$8:$B$77,A26,'Kalibracja — 70 kart'!$V$8:$V$77,"&lt;&gt;—")</x:f>
        <x:v>3</x:v>
      </x:c>
    </x:row>
    <x:row r="27">
      <x:c r="A27" t="str">
        <x:v>Potwory</x:v>
      </x:c>
      <x:c r="B27" t="n">
        <x:f>COUNTIF('Kalibracja — 70 kart'!$B$8:$B$77,A27)</x:f>
        <x:v>14</x:v>
      </x:c>
      <x:c r="C27" t="n">
        <x:f>COUNTIFS('Kalibracja — 70 kart'!$B$8:$B$77,A27,'Kalibracja — 70 kart'!$U$8:$U$77,"W PASMIE")</x:f>
        <x:v>8</x:v>
      </x:c>
      <x:c r="D27" t="n">
        <x:f>COUNTIFS('Kalibracja — 70 kart'!$B$8:$B$77,A27,'Kalibracja — 70 kart'!$U$8:$U$77,"WYSOKA")</x:f>
        <x:v>3</x:v>
      </x:c>
      <x:c r="E27" t="n">
        <x:f>COUNTIFS('Kalibracja — 70 kart'!$B$8:$B$77,A27,'Kalibracja — 70 kart'!$U$8:$U$77,"NISKA")</x:f>
        <x:v>3</x:v>
      </x:c>
      <x:c r="F27" t="n">
        <x:f>COUNTIFS('Kalibracja — 70 kart'!$B$8:$B$77,A27,'Kalibracja — 70 kart'!$V$8:$V$77,"&lt;&gt;—")</x:f>
        <x:v>0</x:v>
      </x:c>
    </x:row>
    <x:row r="28">
      <x:c r="A28" t="str">
        <x:v>Krasnoludy</x:v>
      </x:c>
      <x:c r="B28" t="n">
        <x:f>COUNTIF('Kalibracja — 70 kart'!$B$8:$B$77,A28)</x:f>
        <x:v>14</x:v>
      </x:c>
      <x:c r="C28" t="n">
        <x:f>COUNTIFS('Kalibracja — 70 kart'!$B$8:$B$77,A28,'Kalibracja — 70 kart'!$U$8:$U$77,"W PASMIE")</x:f>
        <x:v>11</x:v>
      </x:c>
      <x:c r="D28" t="n">
        <x:f>COUNTIFS('Kalibracja — 70 kart'!$B$8:$B$77,A28,'Kalibracja — 70 kart'!$U$8:$U$77,"WYSOKA")</x:f>
        <x:v>1</x:v>
      </x:c>
      <x:c r="E28" t="n">
        <x:f>COUNTIFS('Kalibracja — 70 kart'!$B$8:$B$77,A28,'Kalibracja — 70 kart'!$U$8:$U$77,"NISKA")</x:f>
        <x:v>2</x:v>
      </x:c>
      <x:c r="F28" t="n">
        <x:f>COUNTIFS('Kalibracja — 70 kart'!$B$8:$B$77,A28,'Kalibracja — 70 kart'!$V$8:$V$77,"&lt;&gt;—")</x:f>
        <x:v>5</x:v>
      </x:c>
    </x:row>
    <x:row r="29">
      <x:c r="A29" t="str">
        <x:v>Ludzie</x:v>
      </x:c>
      <x:c r="B29" t="n">
        <x:f>COUNTIF('Kalibracja — 70 kart'!$B$8:$B$77,A29)</x:f>
        <x:v>14</x:v>
      </x:c>
      <x:c r="C29" t="n">
        <x:f>COUNTIFS('Kalibracja — 70 kart'!$B$8:$B$77,A29,'Kalibracja — 70 kart'!$U$8:$U$77,"W PASMIE")</x:f>
        <x:v>12</x:v>
      </x:c>
      <x:c r="D29" t="n">
        <x:f>COUNTIFS('Kalibracja — 70 kart'!$B$8:$B$77,A29,'Kalibracja — 70 kart'!$U$8:$U$77,"WYSOKA")</x:f>
        <x:v>1</x:v>
      </x:c>
      <x:c r="E29" t="n">
        <x:f>COUNTIFS('Kalibracja — 70 kart'!$B$8:$B$77,A29,'Kalibracja — 70 kart'!$U$8:$U$77,"NISKA")</x:f>
        <x:v>1</x:v>
      </x:c>
      <x:c r="F29" t="n">
        <x:f>COUNTIFS('Kalibracja — 70 kart'!$B$8:$B$77,A29,'Kalibracja — 70 kart'!$V$8:$V$77,"&lt;&gt;—")</x:f>
        <x:v>3</x:v>
      </x:c>
    </x:row>
    <x:row r="33">
      <x:c r="A33" t="str">
        <x:v>KOLEJNE SYMULACJE — NIE ZMIENIAMY TERAZ STATYSTYK</x:v>
      </x:c>
      <x:c r="B33" t="str"/>
      <x:c r="C33" t="str"/>
      <x:c r="D33" t="str"/>
      <x:c r="E33" t="str"/>
      <x:c r="F33" t="str"/>
      <x:c r="G33" t="str"/>
      <x:c r="H33" t="str"/>
    </x:row>
    <x:row r="34">
      <x:c r="A34" t="str">
        <x:v>1) Test bez przeciwnika: sprawdzić aktywację zdolności i szansę użytecznego celu dla każdej frakcji.</x:v>
      </x:c>
    </x:row>
    <x:row r="35">
      <x:c r="A35" t="str">
        <x:v>2) Test planszy z tarczami: policzyć procent pustych aktywacji Mistrza Tarczy.</x:v>
      </x:c>
    </x:row>
    <x:row r="36">
      <x:c r="A36" t="str">
        <x:v>3) Test Ogłuszenia: mierzyć kolejne tury wyłączenia tej samej jednostki i dostępne kontrposunięcia.</x:v>
      </x:c>
    </x:row>
    <x:row r="37">
      <x:c r="A37" t="str">
        <x:v>4) Test synergii Mechanika z Bestiami: policzyć dodatkowe ataki, efekty Przy ataku i obrażenia.</x:v>
      </x:c>
    </x:row>
    <x:row r="38">
      <x:c r="A38" t="str">
        <x:v>5) Kalibrować szansę użycia i skuteczność powtórzeń logami, nie dopasowywać ich arbitralnie do ładnej mediany.</x:v>
      </x:c>
    </x:row>
    <x:row r="39">
      <x:c r="A39" t="str">
        <x:v>6) Po symulacji dopiero zmieniać wielkość efektu, ATK/HP lub warunki użycia konkretnych kart.</x:v>
      </x:c>
    </x:row>
  </x:sheetData>
  <x:mergeCells>
    <x:mergeCell ref="A1:J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workbookViewId="0">
      <x:pane xSplit="3" ySplit="7" topLeftCell="D8" activePane="bottomRight" state="frozen"/>
    </x:sheetView>
  </x:sheetViews>
  <x:sheetFormatPr defaultRowHeight="15"/>
  <x:cols>
    <x:col min="1" max="1" width="9" hidden="0" customWidth="1"/>
    <x:col min="2" max="2" width="16" hidden="0" customWidth="1"/>
    <x:col min="3" max="3" width="29" hidden="0" customWidth="1"/>
    <x:col min="4" max="4" width="17" hidden="0" customWidth="1"/>
    <x:col min="5" max="5" width="17" hidden="0" customWidth="1"/>
    <x:col min="6" max="6" width="14" hidden="0" customWidth="1"/>
    <x:col min="7" max="7" width="14" hidden="0" customWidth="1"/>
    <x:col min="8" max="8" width="12" hidden="0" customWidth="1"/>
    <x:col min="9" max="9" width="12" hidden="0" customWidth="1"/>
    <x:col min="10" max="10" width="64" hidden="0" customWidth="1"/>
    <x:col min="11" max="11" width="66" hidden="0" customWidth="1"/>
    <x:col min="12" max="12" width="16" hidden="0" customWidth="1"/>
    <x:col min="13" max="13" width="16" hidden="0" customWidth="1"/>
    <x:col min="14" max="14" width="15" hidden="0" customWidth="1"/>
    <x:col min="15" max="15" width="13" hidden="0" customWidth="1"/>
    <x:col min="16" max="16" width="13" hidden="0" customWidth="1"/>
    <x:col min="17" max="17" width="16" hidden="0" customWidth="1"/>
    <x:col min="18" max="18" width="17" hidden="0" customWidth="1"/>
    <x:col min="19" max="19" width="13" hidden="0" customWidth="1"/>
    <x:col min="20" max="20" width="13" hidden="0" customWidth="1"/>
    <x:col min="21" max="21" width="15" hidden="0" customWidth="1"/>
    <x:col min="22" max="22" width="16" hidden="0" customWidth="1"/>
    <x:col min="23" max="23" width="15" hidden="0" customWidth="1"/>
    <x:col min="24" max="24" width="16" hidden="0" customWidth="1"/>
    <x:col min="25" max="25" width="48" hidden="0" customWidth="1"/>
    <x:col min="26" max="26" width="15" hidden="0" customWidth="1"/>
    <x:col min="27" max="27" width="15" hidden="0" customWidth="1"/>
    <x:col min="28" max="28" width="16" hidden="0" customWidth="1"/>
  </x:cols>
  <x:sheetData>
    <x:row r="1" ht="31" customHeight="1">
      <x:c r="A1" s="213" t="str">
        <x:v>BALANS V13 | 70 KART | PARAMETRY ZWERYFIKOWANE W UPROSZCZONYCH POTYCZKACH</x:v>
      </x:c>
      <x:c r="B1" s="213"/>
      <x:c r="C1" s="213"/>
      <x:c r="D1" s="213"/>
      <x:c r="E1" s="213"/>
      <x:c r="F1" s="213"/>
      <x:c r="G1" s="213"/>
      <x:c r="H1" s="213"/>
      <x:c r="I1" s="213"/>
      <x:c r="J1" s="213"/>
      <x:c r="K1" s="213"/>
      <x:c r="L1" s="213"/>
      <x:c r="M1" s="213"/>
      <x:c r="N1" s="213"/>
      <x:c r="O1" s="213"/>
      <x:c r="P1" s="213"/>
      <x:c r="Q1" s="213"/>
      <x:c r="R1" s="213"/>
      <x:c r="S1" s="213"/>
      <x:c r="T1" s="213"/>
      <x:c r="U1" s="213"/>
      <x:c r="V1" s="213"/>
      <x:c r="W1" s="213"/>
      <x:c r="X1" s="213"/>
      <x:c r="Y1" s="213"/>
      <x:c r="Z1" s="213"/>
      <x:c r="AA1" s="213"/>
      <x:c r="AB1" s="213"/>
    </x:row>
    <x:row r="2" ht="27" customHeight="1">
      <x:c r="A2" t="str">
        <x:v>Główne wyniki: pomiar wpływu kart na wynik (punkty procentowe) i dodatkowy model Value 0 / Value po 3 turach.</x:v>
      </x:c>
    </x:row>
    <x:row r="3">
      <x:c r="A3" t="str">
        <x:v>Uwaga: uproszczony symulator bez aukcji, ograniczeń ekonomii, pełnej kontroli gracza i wszystkich statusów — to NIE walidacja finalnej gry.</x:v>
      </x:c>
    </x:row>
    <x:row r="7" ht="34" customHeight="1">
      <x:c r="A7" s="217" t="str">
        <x:v>ID</x:v>
      </x:c>
      <x:c r="B7" s="217" t="str">
        <x:v>Frakcja</x:v>
      </x:c>
      <x:c r="C7" s="217" t="str">
        <x:v>Karta</x:v>
      </x:c>
      <x:c r="D7" s="217" t="str">
        <x:v>Moment</x:v>
      </x:c>
      <x:c r="E7" s="217" t="str">
        <x:v>Rodzina</x:v>
      </x:c>
      <x:c r="F7" s="217" t="str">
        <x:v>ATK poprzednie</x:v>
      </x:c>
      <x:c r="G7" s="217" t="str">
        <x:v>HP poprzednie</x:v>
      </x:c>
      <x:c r="H7" s="217" t="str">
        <x:v>ATK V13</x:v>
      </x:c>
      <x:c r="I7" s="217" t="str">
        <x:v>HP V13</x:v>
      </x:c>
      <x:c r="J7" s="217" t="str">
        <x:v>Efekt poprzedni</x:v>
      </x:c>
      <x:c r="K7" s="217" t="str">
        <x:v>Efekt V13</x:v>
      </x:c>
      <x:c r="L7" s="217" t="str">
        <x:v>Wpływ przed (pp)</x:v>
      </x:c>
      <x:c r="M7" s="217" t="str">
        <x:v>Wpływ V13 (pp)</x:v>
      </x:c>
      <x:c r="N7" s="217" t="str">
        <x:v>Błąd modelu ±pp</x:v>
      </x:c>
      <x:c r="O7" s="217" t="str">
        <x:v>ATK bonus 3T</x:v>
      </x:c>
      <x:c r="P7" s="217" t="str">
        <x:v>HP bonus 3T</x:v>
      </x:c>
      <x:c r="Q7" s="217" t="str">
        <x:v>Moc efektu 0*</x:v>
      </x:c>
      <x:c r="R7" s="217" t="str">
        <x:v>+Moc efektu 3T*</x:v>
      </x:c>
      <x:c r="S7" s="217" t="str">
        <x:v>Value 0*</x:v>
      </x:c>
      <x:c r="T7" s="217" t="str">
        <x:v>Value 3T*</x:v>
      </x:c>
      <x:c r="U7" s="217" t="str">
        <x:v>Suma V0+V3*</x:v>
      </x:c>
      <x:c r="V7" s="217" t="str">
        <x:v>Odchylenie Vsum*</x:v>
      </x:c>
      <x:c r="W7" s="217" t="str">
        <x:v>Symulacja</x:v>
      </x:c>
      <x:c r="X7" s="217" t="str">
        <x:v>Wycena Vsum</x:v>
      </x:c>
      <x:c r="Y7" s="217" t="str">
        <x:v>Korekta / uwagi</x:v>
      </x:c>
      <x:c r="Z7" s="217" t="str">
        <x:v>Ef. waga*</x:v>
      </x:c>
      <x:c r="AA7" s="217" t="str">
        <x:v>Aktywacje skuteczne*</x:v>
      </x:c>
      <x:c r="AB7" s="217" t="str">
        <x:v>Różnica V3−V0*</x:v>
      </x:c>
    </x:row>
    <x:row r="8">
      <x:c r="A8" t="str">
        <x:v>S01</x:v>
      </x:c>
      <x:c r="B8" t="str">
        <x:v>Elfy</x:v>
      </x:c>
      <x:c r="C8" t="str">
        <x:v>Mag Zorzy</x:v>
      </x:c>
      <x:c r="D8" t="str">
        <x:v>Przy wystawieniu</x:v>
      </x:c>
      <x:c r="E8" t="str">
        <x:v>Obrażenia</x:v>
      </x:c>
      <x:c r="F8" t="n">
        <x:v>3</x:v>
      </x:c>
      <x:c r="G8" t="n">
        <x:v>5</x:v>
      </x:c>
      <x:c r="H8" t="n">
        <x:v>1</x:v>
      </x:c>
      <x:c r="I8" t="n">
        <x:v>4</x:v>
      </x:c>
      <x:c r="J8" t="str">
        <x:v>Zadaj 3 obrażenia wybranej wrogiej jednostce.</x:v>
      </x:c>
      <x:c r="K8" t="str">
        <x:v>Zadaj 3 obrażenia wybranej wrogiej jednostce.</x:v>
      </x:c>
      <x:c r="L8" s="180" t="n">
        <x:v>12.02</x:v>
      </x:c>
      <x:c r="M8" s="180" t="n">
        <x:v>-2.68</x:v>
      </x:c>
      <x:c r="N8" s="180" t="n">
        <x:v>1.8</x:v>
      </x:c>
      <x:c r="O8" t="n">
        <x:v>3</x:v>
      </x:c>
      <x:c r="P8" t="n">
        <x:v>3</x:v>
      </x:c>
      <x:c r="Q8" t="n">
        <x:v>3</x:v>
      </x:c>
      <x:c r="R8" t="n">
        <x:v>1</x:v>
      </x:c>
      <x:c r="S8" s="180" t="n">
        <x:f>H8+'Parametry V13'!$B$5*I8+Q8*Z8*AA8</x:f>
        <x:v>5.5</x:v>
      </x:c>
      <x:c r="T8" s="180" t="n">
        <x:f>H8+O8+'Parametry V13'!$B$5*(I8+P8)+(Q8+R8)*Z8*AA8</x:f>
        <x:v>10.75</x:v>
      </x:c>
      <x:c r="U8" s="180" t="n">
        <x:f>S8+T8</x:f>
        <x:v>16.25</x:v>
      </x:c>
      <x:c r="V8" s="181" t="n">
        <x:f>IFERROR(U8/'Parametry V13'!$B$8-1,0)</x:f>
        <x:v>-0.07328623536362544</x:v>
      </x:c>
      <x:c r="W8" t="str">
        <x:f>IF(ABS(M8)&lt;='Parametry V13'!$B$6,"W PASMIE","DO TESTU")</x:f>
        <x:v>W PASMIE</x:v>
      </x:c>
      <x:c r="X8" t="str">
        <x:f>IF(ABS(V8)&lt;='Parametry V13'!$B$7,"W PASMIE","ODCHYLENIE")</x:f>
        <x:v>W PASMIE</x:v>
      </x:c>
      <x:c r="Y8" t="str">
        <x:v>Zmieniono statystyki</x:v>
      </x:c>
      <x:c r="Z8" t="n">
        <x:v>1</x:v>
      </x:c>
      <x:c r="AA8" t="n">
        <x:v>0.9</x:v>
      </x:c>
      <x:c r="AB8" t="n">
        <x:f>T8-S8</x:f>
        <x:v>5.25</x:v>
      </x:c>
    </x:row>
    <x:row r="9">
      <x:c r="A9" t="str">
        <x:v>S02</x:v>
      </x:c>
      <x:c r="B9" t="str">
        <x:v>Elfy</x:v>
      </x:c>
      <x:c r="C9" t="str">
        <x:v>Kapłanka Srebrnego Blasku</x:v>
      </x:c>
      <x:c r="D9" t="str">
        <x:v>Przy wystawieniu</x:v>
      </x:c>
      <x:c r="E9" t="str">
        <x:v>Leczenie</x:v>
      </x:c>
      <x:c r="F9" t="n">
        <x:v>1</x:v>
      </x:c>
      <x:c r="G9" t="n">
        <x:v>6</x:v>
      </x:c>
      <x:c r="H9" t="n">
        <x:v>3</x:v>
      </x:c>
      <x:c r="I9" t="n">
        <x:v>5</x:v>
      </x:c>
      <x:c r="J9" t="str">
        <x:v>Ulecz wybraną sojuszniczą jednostkę lub własnego bohatera o 4 HP.</x:v>
      </x:c>
      <x:c r="K9" t="str">
        <x:v>Ulecz wybraną sojuszniczą jednostkę lub własnego bohatera o 4 HP.</x:v>
      </x:c>
      <x:c r="L9" s="180" t="n">
        <x:v>-8.02</x:v>
      </x:c>
      <x:c r="M9" s="180" t="n">
        <x:v>-0.93</x:v>
      </x:c>
      <x:c r="N9" s="180" t="n">
        <x:v>1.81</x:v>
      </x:c>
      <x:c r="O9" t="n">
        <x:v>0</x:v>
      </x:c>
      <x:c r="P9" t="n">
        <x:v>6</x:v>
      </x:c>
      <x:c r="Q9" t="n">
        <x:v>4</x:v>
      </x:c>
      <x:c r="R9" t="n">
        <x:v>1</x:v>
      </x:c>
      <x:c r="S9" s="180" t="n">
        <x:f>H9+'Parametry V13'!$B$5*I9+Q9*Z9*AA9</x:f>
        <x:v>7.1508</x:v>
      </x:c>
      <x:c r="T9" s="180" t="n">
        <x:f>H9+O9+'Parametry V13'!$B$5*(I9+P9)+(Q9+R9)*Z9*AA9</x:f>
        <x:v>10.326</x:v>
      </x:c>
      <x:c r="U9" s="180" t="n">
        <x:f>S9+T9</x:f>
        <x:v>17.4768</x:v>
      </x:c>
      <x:c r="V9" s="181" t="n">
        <x:f>IFERROR(U9/'Parametry V13'!$B$8-1,0)</x:f>
        <x:v>-0.00332362327403124</x:v>
      </x:c>
      <x:c r="W9" t="str">
        <x:f>IF(ABS(M9)&lt;='Parametry V13'!$B$6,"W PASMIE","DO TESTU")</x:f>
        <x:v>W PASMIE</x:v>
      </x:c>
      <x:c r="X9" t="str">
        <x:f>IF(ABS(V9)&lt;='Parametry V13'!$B$7,"W PASMIE","ODCHYLENIE")</x:f>
        <x:v>W PASMIE</x:v>
      </x:c>
      <x:c r="Y9" t="str">
        <x:v>Zmieniono statystyki</x:v>
      </x:c>
      <x:c r="Z9" t="n">
        <x:v>0.66</x:v>
      </x:c>
      <x:c r="AA9" t="n">
        <x:v>0.72</x:v>
      </x:c>
      <x:c r="AB9" t="n">
        <x:f>T9-S9</x:f>
        <x:v>3.1752000000000002</x:v>
      </x:c>
    </x:row>
    <x:row r="10">
      <x:c r="A10" t="str">
        <x:v>S04</x:v>
      </x:c>
      <x:c r="B10" t="str">
        <x:v>Elfy</x:v>
      </x:c>
      <x:c r="C10" t="str">
        <x:v>Tkacz Run</x:v>
      </x:c>
      <x:c r="D10" t="str">
        <x:v>Przy wystawieniu</x:v>
      </x:c>
      <x:c r="E10" t="str">
        <x:v>ATK ±</x:v>
      </x:c>
      <x:c r="F10" t="n">
        <x:v>2</x:v>
      </x:c>
      <x:c r="G10" t="n">
        <x:v>5</x:v>
      </x:c>
      <x:c r="H10" t="n">
        <x:v>1</x:v>
      </x:c>
      <x:c r="I10" t="n">
        <x:v>4</x:v>
      </x:c>
      <x:c r="J10" t="str">
        <x:v>Wybierz: przyznaj własnej jednostce +3 ATK albo nałóż −3 ATK na wrogą jednostkę; efekt trwa do opuszczenia planszy przez cel.</x:v>
      </x:c>
      <x:c r="K10" t="str">
        <x:v>Wybierz: przyznaj własnej jednostce +1 ATK albo nałóż −1 ATK na wrogą jednostkę; efekt trwa do opuszczenia planszy przez cel.</x:v>
      </x:c>
      <x:c r="L10" s="180" t="n">
        <x:v>14.19</x:v>
      </x:c>
      <x:c r="M10" s="180" t="n">
        <x:v>-2.42</x:v>
      </x:c>
      <x:c r="N10" s="180" t="n">
        <x:v>1.8</x:v>
      </x:c>
      <x:c r="O10" t="n">
        <x:v>6</x:v>
      </x:c>
      <x:c r="P10" t="n">
        <x:v>0</x:v>
      </x:c>
      <x:c r="Q10" t="n">
        <x:v>1</x:v>
      </x:c>
      <x:c r="R10" t="n">
        <x:v>1</x:v>
      </x:c>
      <x:c r="S10" s="180" t="n">
        <x:f>H10+'Parametry V13'!$B$5*I10+Q10*Z10*AA10</x:f>
        <x:v>3.6399999999999997</x:v>
      </x:c>
      <x:c r="T10" s="180" t="n">
        <x:f>H10+O10+'Parametry V13'!$B$5*(I10+P10)+(Q10+R10)*Z10*AA10</x:f>
        <x:v>10.48</x:v>
      </x:c>
      <x:c r="U10" s="180" t="n">
        <x:f>S10+T10</x:f>
        <x:v>14.120000000000001</x:v>
      </x:c>
      <x:c r="V10" s="181" t="n">
        <x:f>IFERROR(U10/'Parametry V13'!$B$8-1,0)</x:f>
        <x:v>-0.19475702420519325</x:v>
      </x:c>
      <x:c r="W10" t="str">
        <x:f>IF(ABS(M10)&lt;='Parametry V13'!$B$6,"W PASMIE","DO TESTU")</x:f>
        <x:v>W PASMIE</x:v>
      </x:c>
      <x:c r="X10" t="str">
        <x:f>IF(ABS(V10)&lt;='Parametry V13'!$B$7,"W PASMIE","ODCHYLENIE")</x:f>
        <x:v>ODCHYLENIE</x:v>
      </x:c>
      <x:c r="Y10" t="str">
        <x:v>Stałe ±1 zamiast ±3; testy wykazały nadmierny potencjał trwałych premii.</x:v>
      </x:c>
      <x:c r="Z10" t="n">
        <x:v>1.05</x:v>
      </x:c>
      <x:c r="AA10" t="n">
        <x:v>0.8</x:v>
      </x:c>
      <x:c r="AB10" t="n">
        <x:f>T10-S10</x:f>
        <x:v>6.840000000000001</x:v>
      </x:c>
    </x:row>
    <x:row r="11">
      <x:c r="A11" t="str">
        <x:v>S08</x:v>
      </x:c>
      <x:c r="B11" t="str">
        <x:v>Elfy</x:v>
      </x:c>
      <x:c r="C11" t="str">
        <x:v>Mag Tkanki Życia</x:v>
      </x:c>
      <x:c r="D11" t="str">
        <x:v>Przy wystawieniu</x:v>
      </x:c>
      <x:c r="E11" t="str">
        <x:v>MAX HP ±</x:v>
      </x:c>
      <x:c r="F11" t="n">
        <x:v>1</x:v>
      </x:c>
      <x:c r="G11" t="n">
        <x:v>7</x:v>
      </x:c>
      <x:c r="H11" t="n">
        <x:v>2</x:v>
      </x:c>
      <x:c r="I11" t="n">
        <x:v>7</x:v>
      </x:c>
      <x:c r="J11" t="str">
        <x:v>Wybierz: przyznaj własnej jednostce +4 MAX HP i +4 aktualnego HP albo zmniejsz MAX HP wrogiej jednostki o 4 (aktualne HP ogranicz do nowego maksimum). Efekt trwa do opuszczenia planszy przez cel.</x:v>
      </x:c>
      <x:c r="K11" t="str">
        <x:v>Wybierz: przyznaj własnej jednostce +4 MAX HP i +4 aktualnego HP albo zmniejsz MAX HP wrogiej jednostki o 4 (aktualne HP ogranicz do nowego maksimum). Efekt trwa do opuszczenia planszy przez cel.</x:v>
      </x:c>
      <x:c r="L11" s="180" t="n">
        <x:v>-6.13</x:v>
      </x:c>
      <x:c r="M11" s="180" t="n">
        <x:v>-3.49</x:v>
      </x:c>
      <x:c r="N11" s="180" t="n">
        <x:v>1.8</x:v>
      </x:c>
      <x:c r="O11" t="n">
        <x:v>0</x:v>
      </x:c>
      <x:c r="P11" t="n">
        <x:v>6</x:v>
      </x:c>
      <x:c r="Q11" t="n">
        <x:v>4</x:v>
      </x:c>
      <x:c r="R11" t="n">
        <x:v>1</x:v>
      </x:c>
      <x:c r="S11" s="180" t="n">
        <x:f>H11+'Parametry V13'!$B$5*I11+Q11*Z11*AA11</x:f>
        <x:v>6.814</x:v>
      </x:c>
      <x:c r="T11" s="180" t="n">
        <x:f>H11+O11+'Parametry V13'!$B$5*(I11+P11)+(Q11+R11)*Z11*AA11</x:f>
        <x:v>9.93</x:v>
      </x:c>
      <x:c r="U11" s="180" t="n">
        <x:f>S11+T11</x:f>
        <x:v>16.744</x:v>
      </x:c>
      <x:c r="V11" s="181" t="n">
        <x:f>IFERROR(U11/'Parametry V13'!$B$8-1,0)</x:f>
        <x:v>-0.045114136918679604</x:v>
      </x:c>
      <x:c r="W11" t="str">
        <x:f>IF(ABS(M11)&lt;='Parametry V13'!$B$6,"W PASMIE","DO TESTU")</x:f>
        <x:v>W PASMIE</x:v>
      </x:c>
      <x:c r="X11" t="str">
        <x:f>IF(ABS(V11)&lt;='Parametry V13'!$B$7,"W PASMIE","ODCHYLENIE")</x:f>
        <x:v>W PASMIE</x:v>
      </x:c>
      <x:c r="Y11" t="str">
        <x:v>Zmieniono statystyki</x:v>
      </x:c>
      <x:c r="Z11" t="n">
        <x:v>0.52</x:v>
      </x:c>
      <x:c r="AA11" t="n">
        <x:v>0.8</x:v>
      </x:c>
      <x:c r="AB11" t="n">
        <x:f>T11-S11</x:f>
        <x:v>3.1159999999999997</x:v>
      </x:c>
    </x:row>
    <x:row r="12">
      <x:c r="A12" t="str">
        <x:v>S03</x:v>
      </x:c>
      <x:c r="B12" t="str">
        <x:v>Elfy</x:v>
      </x:c>
      <x:c r="C12" t="str">
        <x:v>Zaklinacz Runicznej Zbroi</x:v>
      </x:c>
      <x:c r="D12" t="str">
        <x:v>Przy wystawieniu</x:v>
      </x:c>
      <x:c r="E12" t="str">
        <x:v>Pancerz</x:v>
      </x:c>
      <x:c r="F12" t="n">
        <x:v>2</x:v>
      </x:c>
      <x:c r="G12" t="n">
        <x:v>7</x:v>
      </x:c>
      <x:c r="H12" t="n">
        <x:v>2</x:v>
      </x:c>
      <x:c r="I12" t="n">
        <x:v>7</x:v>
      </x:c>
      <x:c r="J12" t="str">
        <x:v>Przyznaj 4 trwałego pancerza wybranej sojuszniczej jednostce.</x:v>
      </x:c>
      <x:c r="K12" t="str">
        <x:v>Przyznaj 4 trwałego pancerza wybranej sojuszniczej jednostce.</x:v>
      </x:c>
      <x:c r="L12" s="180" t="n">
        <x:v>-1.33</x:v>
      </x:c>
      <x:c r="M12" s="180" t="n">
        <x:v>-3.38</x:v>
      </x:c>
      <x:c r="N12" s="180" t="n">
        <x:v>1.81</x:v>
      </x:c>
      <x:c r="O12" t="n">
        <x:v>0</x:v>
      </x:c>
      <x:c r="P12" t="n">
        <x:v>6</x:v>
      </x:c>
      <x:c r="Q12" t="n">
        <x:v>4</x:v>
      </x:c>
      <x:c r="R12" t="n">
        <x:v>1</x:v>
      </x:c>
      <x:c r="S12" s="180" t="n">
        <x:f>H12+'Parametry V13'!$B$5*I12+Q12*Z12*AA12</x:f>
        <x:v>6.822000000000001</x:v>
      </x:c>
      <x:c r="T12" s="180" t="n">
        <x:f>H12+O12+'Parametry V13'!$B$5*(I12+P12)+(Q12+R12)*Z12*AA12</x:f>
        <x:v>9.940000000000001</x:v>
      </x:c>
      <x:c r="U12" s="180" t="n">
        <x:f>S12+T12</x:f>
        <x:v>16.762</x:v>
      </x:c>
      <x:c r="V12" s="181" t="n">
        <x:f>IFERROR(U12/'Parametry V13'!$B$8-1,0)</x:f>
        <x:v>-0.044087623210159355</x:v>
      </x:c>
      <x:c r="W12" t="str">
        <x:f>IF(ABS(M12)&lt;='Parametry V13'!$B$6,"W PASMIE","DO TESTU")</x:f>
        <x:v>W PASMIE</x:v>
      </x:c>
      <x:c r="X12" t="str">
        <x:f>IF(ABS(V12)&lt;='Parametry V13'!$B$7,"W PASMIE","ODCHYLENIE")</x:f>
        <x:v>W PASMIE</x:v>
      </x:c>
      <x:c r="Y12" t="str">
        <x:v>Bez korekty statystyk</x:v>
      </x:c>
      <x:c r="Z12" t="n">
        <x:v>0.55</x:v>
      </x:c>
      <x:c r="AA12" t="n">
        <x:v>0.76</x:v>
      </x:c>
      <x:c r="AB12" t="n">
        <x:f>T12-S12</x:f>
        <x:v>3.1180000000000003</x:v>
      </x:c>
    </x:row>
    <x:row r="13">
      <x:c r="A13" t="str">
        <x:v>S05</x:v>
      </x:c>
      <x:c r="B13" t="str">
        <x:v>Elfy</x:v>
      </x:c>
      <x:c r="C13" t="str">
        <x:v>Strażniczka Księżycowej Pieczęci</x:v>
      </x:c>
      <x:c r="D13" t="str">
        <x:v>Przy wystawieniu</x:v>
      </x:c>
      <x:c r="E13" t="str">
        <x:v>Tarcza</x:v>
      </x:c>
      <x:c r="F13" t="n">
        <x:v>1</x:v>
      </x:c>
      <x:c r="G13" t="n">
        <x:v>6</x:v>
      </x:c>
      <x:c r="H13" t="n">
        <x:v>3</x:v>
      </x:c>
      <x:c r="I13" t="n">
        <x:v>6</x:v>
      </x:c>
      <x:c r="J13" t="str">
        <x:v>Przyznaj tarczę wybranej sojuszniczej jednostce i 1 trwałego pancerza temu samemu celowi.</x:v>
      </x:c>
      <x:c r="K13" t="str">
        <x:v>Przyznaj tarczę wybranej sojuszniczej jednostce i 1 trwałego pancerza temu samemu celowi.</x:v>
      </x:c>
      <x:c r="L13" s="180" t="n">
        <x:v>-7.4</x:v>
      </x:c>
      <x:c r="M13" s="180" t="n">
        <x:v>1.48</x:v>
      </x:c>
      <x:c r="N13" s="180" t="n">
        <x:v>1.8</x:v>
      </x:c>
      <x:c r="O13" t="n">
        <x:v>0</x:v>
      </x:c>
      <x:c r="P13" t="n">
        <x:v>9</x:v>
      </x:c>
      <x:c r="Q13" t="n">
        <x:v>1</x:v>
      </x:c>
      <x:c r="R13" t="n">
        <x:v>0</x:v>
      </x:c>
      <x:c r="S13" s="180" t="n">
        <x:f>H13+'Parametry V13'!$B$5*I13+Q13*Z13*AA13</x:f>
        <x:v>7.174</x:v>
      </x:c>
      <x:c r="T13" s="180" t="n">
        <x:f>H13+O13+'Parametry V13'!$B$5*(I13+P13)+(Q13+R13)*Z13*AA13</x:f>
        <x:v>11.224</x:v>
      </x:c>
      <x:c r="U13" s="180" t="n">
        <x:f>S13+T13</x:f>
        <x:v>18.398</x:v>
      </x:c>
      <x:c r="V13" s="181" t="n">
        <x:f>IFERROR(U13/'Parametry V13'!$B$8-1,0)</x:f>
        <x:v>0.04921106718646273</x:v>
      </x:c>
      <x:c r="W13" t="str">
        <x:f>IF(ABS(M13)&lt;='Parametry V13'!$B$6,"W PASMIE","DO TESTU")</x:f>
        <x:v>W PASMIE</x:v>
      </x:c>
      <x:c r="X13" t="str">
        <x:f>IF(ABS(V13)&lt;='Parametry V13'!$B$7,"W PASMIE","ODCHYLENIE")</x:f>
        <x:v>W PASMIE</x:v>
      </x:c>
      <x:c r="Y13" t="str">
        <x:v>Zmieniono statystyki</x:v>
      </x:c>
      <x:c r="Z13" t="n">
        <x:v>2.2</x:v>
      </x:c>
      <x:c r="AA13" t="n">
        <x:v>0.67</x:v>
      </x:c>
      <x:c r="AB13" t="n">
        <x:f>T13-S13</x:f>
        <x:v>4.05</x:v>
      </x:c>
    </x:row>
    <x:row r="14">
      <x:c r="A14" t="str">
        <x:v>S58</x:v>
      </x:c>
      <x:c r="B14" t="str">
        <x:v>Elfy</x:v>
      </x:c>
      <x:c r="C14" t="str">
        <x:v>Alchemik Jadowych Korzeni</x:v>
      </x:c>
      <x:c r="D14" t="str">
        <x:v>Przy wystawieniu</x:v>
      </x:c>
      <x:c r="E14" t="str">
        <x:v>Trucizna</x:v>
      </x:c>
      <x:c r="F14" t="n">
        <x:v>1</x:v>
      </x:c>
      <x:c r="G14" t="n">
        <x:v>5</x:v>
      </x:c>
      <x:c r="H14" t="n">
        <x:v>1</x:v>
      </x:c>
      <x:c r="I14" t="n">
        <x:v>5</x:v>
      </x:c>
      <x:c r="J14" t="str">
        <x:v>Nałóż na wybraną wrogą jednostkę truciznę: 2 obrażenia przez 2 jej własne tury.</x:v>
      </x:c>
      <x:c r="K14" t="str">
        <x:v>Nałóż na wybraną wrogą jednostkę truciznę: 2 obrażenia przez 2 jej własne tury.</x:v>
      </x:c>
      <x:c r="L14" s="180" t="n">
        <x:v>5.72</x:v>
      </x:c>
      <x:c r="M14" s="180" t="n">
        <x:v>2.31</x:v>
      </x:c>
      <x:c r="N14" s="180" t="n">
        <x:v>1.8</x:v>
      </x:c>
      <x:c r="O14" t="n">
        <x:v>6</x:v>
      </x:c>
      <x:c r="P14" t="n">
        <x:v>0</x:v>
      </x:c>
      <x:c r="Q14" t="n">
        <x:v>4</x:v>
      </x:c>
      <x:c r="R14" t="n">
        <x:v>1</x:v>
      </x:c>
      <x:c r="S14" s="180" t="n">
        <x:f>H14+'Parametry V13'!$B$5*I14+Q14*Z14*AA14</x:f>
        <x:v>5.4963999999999995</x:v>
      </x:c>
      <x:c r="T14" s="180" t="n">
        <x:f>H14+O14+'Parametry V13'!$B$5*(I14+P14)+(Q14+R14)*Z14*AA14</x:f>
        <x:v>12.058</x:v>
      </x:c>
      <x:c r="U14" s="180" t="n">
        <x:f>S14+T14</x:f>
        <x:v>17.5544</x:v>
      </x:c>
      <x:c r="V14" s="181" t="n">
        <x:f>IFERROR(U14/'Parametry V13'!$B$8-1,0)</x:f>
        <x:v>0.0011017913804785007</x:v>
      </x:c>
      <x:c r="W14" t="str">
        <x:f>IF(ABS(M14)&lt;='Parametry V13'!$B$6,"W PASMIE","DO TESTU")</x:f>
        <x:v>W PASMIE</x:v>
      </x:c>
      <x:c r="X14" t="str">
        <x:f>IF(ABS(V14)&lt;='Parametry V13'!$B$7,"W PASMIE","ODCHYLENIE")</x:f>
        <x:v>W PASMIE</x:v>
      </x:c>
      <x:c r="Y14" t="str">
        <x:v>Bez korekty statystyk</x:v>
      </x:c>
      <x:c r="Z14" t="n">
        <x:v>0.78</x:v>
      </x:c>
      <x:c r="AA14" t="n">
        <x:v>0.72</x:v>
      </x:c>
      <x:c r="AB14" t="n">
        <x:f>T14-S14</x:f>
        <x:v>6.5616</x:v>
      </x:c>
    </x:row>
    <x:row r="15">
      <x:c r="A15" t="str">
        <x:v>S59</x:v>
      </x:c>
      <x:c r="B15" t="str">
        <x:v>Elfy</x:v>
      </x:c>
      <x:c r="C15" t="str">
        <x:v>Tkaczka Uśpienia</x:v>
      </x:c>
      <x:c r="D15" t="str">
        <x:v>Przy wystawieniu</x:v>
      </x:c>
      <x:c r="E15" t="str">
        <x:v>Ogłuszenie</x:v>
      </x:c>
      <x:c r="F15" t="n">
        <x:v>1</x:v>
      </x:c>
      <x:c r="G15" t="n">
        <x:v>6</x:v>
      </x:c>
      <x:c r="H15" t="n">
        <x:v>1</x:v>
      </x:c>
      <x:c r="I15" t="n">
        <x:v>6</x:v>
      </x:c>
      <x:c r="J15" t="str">
        <x:v>Ogłusz wybraną wrogą jednostkę na 1 jej własną turę i zadaj jej 1 obrażenie.</x:v>
      </x:c>
      <x:c r="K15" t="str">
        <x:v>Ogłusz wybraną wrogą jednostkę na 1 jej własną turę i zadaj jej 1 obrażenie.</x:v>
      </x:c>
      <x:c r="L15" s="180" t="n">
        <x:v>2.73</x:v>
      </x:c>
      <x:c r="M15" s="180" t="n">
        <x:v>2.41</x:v>
      </x:c>
      <x:c r="N15" s="180" t="n">
        <x:v>1.81</x:v>
      </x:c>
      <x:c r="O15" t="n">
        <x:v>3</x:v>
      </x:c>
      <x:c r="P15" t="n">
        <x:v>3</x:v>
      </x:c>
      <x:c r="Q15" t="n">
        <x:v>1</x:v>
      </x:c>
      <x:c r="R15" t="n">
        <x:v>1</x:v>
      </x:c>
      <x:c r="S15" s="180" t="n">
        <x:f>H15+'Parametry V13'!$B$5*I15+Q15*Z15*AA15</x:f>
        <x:v>5.439</x:v>
      </x:c>
      <x:c r="T15" s="180" t="n">
        <x:f>H15+O15+'Parametry V13'!$B$5*(I15+P15)+(Q15+R15)*Z15*AA15</x:f>
        <x:v>11.528</x:v>
      </x:c>
      <x:c r="U15" s="180" t="n">
        <x:f>S15+T15</x:f>
        <x:v>16.967</x:v>
      </x:c>
      <x:c r="V15" s="181" t="n">
        <x:f>IFERROR(U15/'Parametry V13'!$B$8-1,0)</x:f>
        <x:v>-0.03239677264090057</x:v>
      </x:c>
      <x:c r="W15" t="str">
        <x:f>IF(ABS(M15)&lt;='Parametry V13'!$B$6,"W PASMIE","DO TESTU")</x:f>
        <x:v>W PASMIE</x:v>
      </x:c>
      <x:c r="X15" t="str">
        <x:f>IF(ABS(V15)&lt;='Parametry V13'!$B$7,"W PASMIE","ODCHYLENIE")</x:f>
        <x:v>W PASMIE</x:v>
      </x:c>
      <x:c r="Y15" t="str">
        <x:v>Bez korekty statystyk</x:v>
      </x:c>
      <x:c r="Z15" t="n">
        <x:v>2.35</x:v>
      </x:c>
      <x:c r="AA15" t="n">
        <x:v>0.74</x:v>
      </x:c>
      <x:c r="AB15" t="n">
        <x:f>T15-S15</x:f>
        <x:v>6.089</x:v>
      </x:c>
    </x:row>
    <x:row r="16">
      <x:c r="A16" t="str">
        <x:v>S60</x:v>
      </x:c>
      <x:c r="B16" t="str">
        <x:v>Elfy</x:v>
      </x:c>
      <x:c r="C16" t="str">
        <x:v>Druid Odnowy</x:v>
      </x:c>
      <x:c r="D16" t="str">
        <x:v>Przy wystawieniu</x:v>
      </x:c>
      <x:c r="E16" t="str">
        <x:v>Regeneracja</x:v>
      </x:c>
      <x:c r="F16" t="n">
        <x:v>1</x:v>
      </x:c>
      <x:c r="G16" t="n">
        <x:v>6</x:v>
      </x:c>
      <x:c r="H16" t="n">
        <x:v>3</x:v>
      </x:c>
      <x:c r="I16" t="n">
        <x:v>6</x:v>
      </x:c>
      <x:c r="J16" t="str">
        <x:v>Nałóż na wybraną sojuszniczą jednostkę regenerację 3 HP przez 2 jej własne tury.</x:v>
      </x:c>
      <x:c r="K16" t="str">
        <x:v>Nałóż na wybraną sojuszniczą jednostkę regenerację 3 HP przez 2 jej własne tury.</x:v>
      </x:c>
      <x:c r="L16" s="180" t="n">
        <x:v>-7.48</x:v>
      </x:c>
      <x:c r="M16" s="180" t="n">
        <x:v>1.14</x:v>
      </x:c>
      <x:c r="N16" s="180" t="n">
        <x:v>1.81</x:v>
      </x:c>
      <x:c r="O16" t="n">
        <x:v>0</x:v>
      </x:c>
      <x:c r="P16" t="n">
        <x:v>6</x:v>
      </x:c>
      <x:c r="Q16" t="n">
        <x:v>6</x:v>
      </x:c>
      <x:c r="R16" t="n">
        <x:v>1</x:v>
      </x:c>
      <x:c r="S16" s="180" t="n">
        <x:f>H16+'Parametry V13'!$B$5*I16+Q16*Z16*AA16</x:f>
        <x:v>7.323600000000001</x:v>
      </x:c>
      <x:c r="T16" s="180" t="n">
        <x:f>H16+O16+'Parametry V13'!$B$5*(I16+P16)+(Q16+R16)*Z16*AA16</x:f>
        <x:v>10.2942</x:v>
      </x:c>
      <x:c r="U16" s="180" t="n">
        <x:f>S16+T16</x:f>
        <x:v>17.617800000000003</x:v>
      </x:c>
      <x:c r="V16" s="181" t="n">
        <x:f>IFERROR(U16/'Parametry V13'!$B$8-1,0)</x:f>
        <x:v>0.004717400776044434</x:v>
      </x:c>
      <x:c r="W16" t="str">
        <x:f>IF(ABS(M16)&lt;='Parametry V13'!$B$6,"W PASMIE","DO TESTU")</x:f>
        <x:v>W PASMIE</x:v>
      </x:c>
      <x:c r="X16" t="str">
        <x:f>IF(ABS(V16)&lt;='Parametry V13'!$B$7,"W PASMIE","ODCHYLENIE")</x:f>
        <x:v>W PASMIE</x:v>
      </x:c>
      <x:c r="Y16" t="str">
        <x:v>Zmieniono statystyki</x:v>
      </x:c>
      <x:c r="Z16" t="n">
        <x:v>0.41</x:v>
      </x:c>
      <x:c r="AA16" t="n">
        <x:v>0.66</x:v>
      </x:c>
      <x:c r="AB16" t="n">
        <x:f>T16-S16</x:f>
        <x:v>2.9705999999999992</x:v>
      </x:c>
    </x:row>
    <x:row r="17">
      <x:c r="A17" t="str">
        <x:v>S61</x:v>
      </x:c>
      <x:c r="B17" t="str">
        <x:v>Elfy</x:v>
      </x:c>
      <x:c r="C17" t="str">
        <x:v>Władczyni Leśnych Więzów</x:v>
      </x:c>
      <x:c r="D17" t="str">
        <x:v>Przy wystawieniu</x:v>
      </x:c>
      <x:c r="E17" t="str">
        <x:v>Prowokacja</x:v>
      </x:c>
      <x:c r="F17" t="n">
        <x:v>1</x:v>
      </x:c>
      <x:c r="G17" t="n">
        <x:v>8</x:v>
      </x:c>
      <x:c r="H17" t="n">
        <x:v>3</x:v>
      </x:c>
      <x:c r="I17" t="n">
        <x:v>7</x:v>
      </x:c>
      <x:c r="J17" t="str">
        <x:v>Nadaj wybranej sojuszniczej jednostce prowokację do jej opuszczenia planszy.</x:v>
      </x:c>
      <x:c r="K17" t="str">
        <x:v>Nadaj wybranej sojuszniczej jednostce prowokację do jej opuszczenia planszy.</x:v>
      </x:c>
      <x:c r="L17" s="180" t="n">
        <x:v>-8.32</x:v>
      </x:c>
      <x:c r="M17" s="180" t="n">
        <x:v>0.87</x:v>
      </x:c>
      <x:c r="N17" s="180" t="n">
        <x:v>1.81</x:v>
      </x:c>
      <x:c r="O17" t="n">
        <x:v>0</x:v>
      </x:c>
      <x:c r="P17" t="n">
        <x:v>9</x:v>
      </x:c>
      <x:c r="Q17" t="n">
        <x:v>1</x:v>
      </x:c>
      <x:c r="R17" t="n">
        <x:v>0</x:v>
      </x:c>
      <x:c r="S17" s="180" t="n">
        <x:f>H17+'Parametry V13'!$B$5*I17+Q17*Z17*AA17</x:f>
        <x:v>7.102</x:v>
      </x:c>
      <x:c r="T17" s="180" t="n">
        <x:f>H17+O17+'Parametry V13'!$B$5*(I17+P17)+(Q17+R17)*Z17*AA17</x:f>
        <x:v>11.152</x:v>
      </x:c>
      <x:c r="U17" s="180" t="n">
        <x:f>S17+T17</x:f>
        <x:v>18.253999999999998</x:v>
      </x:c>
      <x:c r="V17" s="181" t="n">
        <x:f>IFERROR(U17/'Parametry V13'!$B$8-1,0)</x:f>
        <x:v>0.040998957518300294</x:v>
      </x:c>
      <x:c r="W17" t="str">
        <x:f>IF(ABS(M17)&lt;='Parametry V13'!$B$6,"W PASMIE","DO TESTU")</x:f>
        <x:v>W PASMIE</x:v>
      </x:c>
      <x:c r="X17" t="str">
        <x:f>IF(ABS(V17)&lt;='Parametry V13'!$B$7,"W PASMIE","ODCHYLENIE")</x:f>
        <x:v>W PASMIE</x:v>
      </x:c>
      <x:c r="Y17" t="str">
        <x:v>Zmieniono statystyki</x:v>
      </x:c>
      <x:c r="Z17" t="n">
        <x:v>1.4</x:v>
      </x:c>
      <x:c r="AA17" t="n">
        <x:v>0.68</x:v>
      </x:c>
      <x:c r="AB17" t="n">
        <x:f>T17-S17</x:f>
        <x:v>4.049999999999999</x:v>
      </x:c>
    </x:row>
    <x:row r="18">
      <x:c r="A18" t="str">
        <x:v>S07</x:v>
      </x:c>
      <x:c r="B18" t="str">
        <x:v>Elfy</x:v>
      </x:c>
      <x:c r="C18" t="str">
        <x:v>Kapłanka Oczyszczenia</x:v>
      </x:c>
      <x:c r="D18" t="str">
        <x:v>Przy wystawieniu</x:v>
      </x:c>
      <x:c r="E18" t="str">
        <x:v>Oczyszczanie</x:v>
      </x:c>
      <x:c r="F18" t="n">
        <x:v>1</x:v>
      </x:c>
      <x:c r="G18" t="n">
        <x:v>6</x:v>
      </x:c>
      <x:c r="H18" t="n">
        <x:v>2</x:v>
      </x:c>
      <x:c r="I18" t="n">
        <x:v>6</x:v>
      </x:c>
      <x:c r="J18" t="str">
        <x:v>Usuń z wybranej własnej jednostki wszystkie tymczasowe negatywne efekty albo z wrogiej wszystkie tymczasowe pozytywne efekty; dodatkowo ulecz własny cel o 1 HP, jeżeli taki był wybrany.</x:v>
      </x:c>
      <x:c r="K18" t="str">
        <x:v>Usuń z wybranej własnej jednostki wszystkie tymczasowe negatywne efekty albo z wrogiej wszystkie tymczasowe pozytywne efekty; dodatkowo ulecz własny cel o 1 HP, jeżeli taki był wybrany.</x:v>
      </x:c>
      <x:c r="L18" s="180" t="n">
        <x:v>-0.04</x:v>
      </x:c>
      <x:c r="M18" s="180" t="n">
        <x:v>1.32</x:v>
      </x:c>
      <x:c r="N18" s="180" t="n">
        <x:v>1.8</x:v>
      </x:c>
      <x:c r="O18" t="n">
        <x:v>3</x:v>
      </x:c>
      <x:c r="P18" t="n">
        <x:v>3</x:v>
      </x:c>
      <x:c r="Q18" t="n">
        <x:v>1</x:v>
      </x:c>
      <x:c r="R18" t="n">
        <x:v>1</x:v>
      </x:c>
      <x:c r="S18" s="180" t="n">
        <x:f>H18+'Parametry V13'!$B$5*I18+Q18*Z18*AA18</x:f>
        <x:v>5.3975</x:v>
      </x:c>
      <x:c r="T18" s="180" t="n">
        <x:f>H18+O18+'Parametry V13'!$B$5*(I18+P18)+(Q18+R18)*Z18*AA18</x:f>
        <x:v>10.445</x:v>
      </x:c>
      <x:c r="U18" s="180" t="n">
        <x:f>S18+T18</x:f>
        <x:v>15.842500000000001</x:v>
      </x:c>
      <x:c r="V18" s="181" t="n">
        <x:f>IFERROR(U18/'Parametry V13'!$B$8-1,0)</x:f>
        <x:v>-0.09652536515373755</x:v>
      </x:c>
      <x:c r="W18" t="str">
        <x:f>IF(ABS(M18)&lt;='Parametry V13'!$B$6,"W PASMIE","DO TESTU")</x:f>
        <x:v>W PASMIE</x:v>
      </x:c>
      <x:c r="X18" t="str">
        <x:f>IF(ABS(V18)&lt;='Parametry V13'!$B$7,"W PASMIE","ODCHYLENIE")</x:f>
        <x:v>W PASMIE</x:v>
      </x:c>
      <x:c r="Y18" t="str">
        <x:v>Zmieniono statystyki</x:v>
      </x:c>
      <x:c r="Z18" t="n">
        <x:v>1.55</x:v>
      </x:c>
      <x:c r="AA18" t="n">
        <x:v>0.45</x:v>
      </x:c>
      <x:c r="AB18" t="n">
        <x:f>T18-S18</x:f>
        <x:v>5.0475</x:v>
      </x:c>
    </x:row>
    <x:row r="19">
      <x:c r="A19" t="str">
        <x:v>S64</x:v>
      </x:c>
      <x:c r="B19" t="str">
        <x:v>Elfy</x:v>
      </x:c>
      <x:c r="C19" t="str">
        <x:v>Strażnik Zaklęć Ochronnych</x:v>
      </x:c>
      <x:c r="D19" t="str">
        <x:v>Przy wystawieniu</x:v>
      </x:c>
      <x:c r="E19" t="str">
        <x:v>Odporność</x:v>
      </x:c>
      <x:c r="F19" t="n">
        <x:v>2</x:v>
      </x:c>
      <x:c r="G19" t="n">
        <x:v>6</x:v>
      </x:c>
      <x:c r="H19" t="n">
        <x:v>4</x:v>
      </x:c>
      <x:c r="I19" t="n">
        <x:v>6</x:v>
      </x:c>
      <x:c r="J19" t="str">
        <x:v>Nadaj wybranej własnej jednostce odporność na truciznę do jej opuszczenia planszy.</x:v>
      </x:c>
      <x:c r="K19" t="str">
        <x:v>Nadaj wybranej własnej jednostce odporność na truciznę do jej opuszczenia planszy.</x:v>
      </x:c>
      <x:c r="L19" s="180" t="n">
        <x:v>-5.74</x:v>
      </x:c>
      <x:c r="M19" s="180" t="n">
        <x:v>2.84</x:v>
      </x:c>
      <x:c r="N19" s="180" t="n">
        <x:v>1.8</x:v>
      </x:c>
      <x:c r="O19" t="n">
        <x:v>0</x:v>
      </x:c>
      <x:c r="P19" t="n">
        <x:v>6</x:v>
      </x:c>
      <x:c r="Q19" t="n">
        <x:v>1</x:v>
      </x:c>
      <x:c r="R19" t="n">
        <x:v>1</x:v>
      </x:c>
      <x:c r="S19" s="180" t="n">
        <x:f>H19+'Parametry V13'!$B$5*I19+Q19*Z19*AA19</x:f>
        <x:v>7.36</x:v>
      </x:c>
      <x:c r="T19" s="180" t="n">
        <x:f>H19+O19+'Parametry V13'!$B$5*(I19+P19)+(Q19+R19)*Z19*AA19</x:f>
        <x:v>10.72</x:v>
      </x:c>
      <x:c r="U19" s="180" t="n">
        <x:f>S19+T19</x:f>
        <x:v>18.080000000000002</x:v>
      </x:c>
      <x:c r="V19" s="181" t="n">
        <x:f>IFERROR(U19/'Parametry V13'!$B$8-1,0)</x:f>
        <x:v>0.031075991669271108</x:v>
      </x:c>
      <x:c r="W19" t="str">
        <x:f>IF(ABS(M19)&lt;='Parametry V13'!$B$6,"W PASMIE","DO TESTU")</x:f>
        <x:v>W PASMIE</x:v>
      </x:c>
      <x:c r="X19" t="str">
        <x:f>IF(ABS(V19)&lt;='Parametry V13'!$B$7,"W PASMIE","ODCHYLENIE")</x:f>
        <x:v>W PASMIE</x:v>
      </x:c>
      <x:c r="Y19" t="str">
        <x:v>Zmieniono statystyki</x:v>
      </x:c>
      <x:c r="Z19" t="n">
        <x:v>1.2</x:v>
      </x:c>
      <x:c r="AA19" t="n">
        <x:v>0.55</x:v>
      </x:c>
      <x:c r="AB19" t="n">
        <x:f>T19-S19</x:f>
        <x:v>3.3600000000000003</x:v>
      </x:c>
    </x:row>
    <x:row r="20">
      <x:c r="A20" t="str">
        <x:v>S66</x:v>
      </x:c>
      <x:c r="B20" t="str">
        <x:v>Elfy</x:v>
      </x:c>
      <x:c r="C20" t="str">
        <x:v>Mag Migotliwego Kroku</x:v>
      </x:c>
      <x:c r="D20" t="str">
        <x:v>Przy wystawieniu</x:v>
      </x:c>
      <x:c r="E20" t="str">
        <x:v>Szybki atak</x:v>
      </x:c>
      <x:c r="F20" t="n">
        <x:v>3</x:v>
      </x:c>
      <x:c r="G20" t="n">
        <x:v>4</x:v>
      </x:c>
      <x:c r="H20" t="n">
        <x:v>2</x:v>
      </x:c>
      <x:c r="I20" t="n">
        <x:v>4</x:v>
      </x:c>
      <x:c r="J20" t="str">
        <x:v>Ta jednostka może zaatakować w turze, w której została wystawiona.</x:v>
      </x:c>
      <x:c r="K20" t="str">
        <x:v>Ta jednostka może zaatakować w turze, w której została wystawiona.</x:v>
      </x:c>
      <x:c r="L20" s="180" t="n">
        <x:v>9.7</x:v>
      </x:c>
      <x:c r="M20" s="180" t="n">
        <x:v>2.41</x:v>
      </x:c>
      <x:c r="N20" s="180" t="n">
        <x:v>1.8</x:v>
      </x:c>
      <x:c r="O20" t="n">
        <x:v>8</x:v>
      </x:c>
      <x:c r="P20" t="n">
        <x:v>1</x:v>
      </x:c>
      <x:c r="Q20" t="n">
        <x:v>1</x:v>
      </x:c>
      <x:c r="R20" t="n">
        <x:v>0</x:v>
      </x:c>
      <x:c r="S20" s="180" t="n">
        <x:f>H20+'Parametry V13'!$B$5*I20+Q20*Z20*AA20</x:f>
        <x:v>4.843999999999999</x:v>
      </x:c>
      <x:c r="T20" s="180" t="n">
        <x:f>H20+O20+'Parametry V13'!$B$5*(I20+P20)+(Q20+R20)*Z20*AA20</x:f>
        <x:v>13.294</x:v>
      </x:c>
      <x:c r="U20" s="180" t="n">
        <x:f>S20+T20</x:f>
        <x:v>18.137999999999998</x:v>
      </x:c>
      <x:c r="V20" s="181" t="n">
        <x:f>IFERROR(U20/'Parametry V13'!$B$8-1,0)</x:f>
        <x:v>0.03438364695228069</x:v>
      </x:c>
      <x:c r="W20" t="str">
        <x:f>IF(ABS(M20)&lt;='Parametry V13'!$B$6,"W PASMIE","DO TESTU")</x:f>
        <x:v>W PASMIE</x:v>
      </x:c>
      <x:c r="X20" t="str">
        <x:f>IF(ABS(V20)&lt;='Parametry V13'!$B$7,"W PASMIE","ODCHYLENIE")</x:f>
        <x:v>W PASMIE</x:v>
      </x:c>
      <x:c r="Y20" t="str">
        <x:v>Zmieniono statystyki</x:v>
      </x:c>
      <x:c r="Z20" t="n">
        <x:v>1.8</x:v>
      </x:c>
      <x:c r="AA20" t="n">
        <x:v>0.58</x:v>
      </x:c>
      <x:c r="AB20" t="n">
        <x:f>T20-S20</x:f>
        <x:v>8.450000000000001</x:v>
      </x:c>
    </x:row>
    <x:row r="21">
      <x:c r="A21" t="str">
        <x:v>S67</x:v>
      </x:c>
      <x:c r="B21" t="str">
        <x:v>Elfy</x:v>
      </x:c>
      <x:c r="C21" t="str">
        <x:v>Zaklinacz Podwójnego Uderzenia</x:v>
      </x:c>
      <x:c r="D21" t="str">
        <x:v>Przy wystawieniu</x:v>
      </x:c>
      <x:c r="E21" t="str">
        <x:v>Podwójny atak</x:v>
      </x:c>
      <x:c r="F21" t="n">
        <x:v>2</x:v>
      </x:c>
      <x:c r="G21" t="n">
        <x:v>5</x:v>
      </x:c>
      <x:c r="H21" t="n">
        <x:v>1</x:v>
      </x:c>
      <x:c r="I21" t="n">
        <x:v>5</x:v>
      </x:c>
      <x:c r="J21" t="str">
        <x:v>Ta jednostka otrzymuje Podwójny atak: może atakować dwa razy w każdej własnej turze do opuszczenia planszy.</x:v>
      </x:c>
      <x:c r="K21" t="str">
        <x:v>Ta jednostka otrzymuje Podwójny atak: może atakować dwa razy w każdej własnej turze do opuszczenia planszy.</x:v>
      </x:c>
      <x:c r="L21" s="180" t="n">
        <x:v>6.33</x:v>
      </x:c>
      <x:c r="M21" s="180" t="n">
        <x:v>-2.47</x:v>
      </x:c>
      <x:c r="N21" s="180" t="n">
        <x:v>1.8</x:v>
      </x:c>
      <x:c r="O21" t="n">
        <x:v>8</x:v>
      </x:c>
      <x:c r="P21" t="n">
        <x:v>0</x:v>
      </x:c>
      <x:c r="Q21" t="n">
        <x:v>1</x:v>
      </x:c>
      <x:c r="R21" t="n">
        <x:v>0</x:v>
      </x:c>
      <x:c r="S21" s="180" t="n">
        <x:f>H21+'Parametry V13'!$B$5*I21+Q21*Z21*AA21</x:f>
        <x:v>4.984</x:v>
      </x:c>
      <x:c r="T21" s="180" t="n">
        <x:f>H21+O21+'Parametry V13'!$B$5*(I21+P21)+(Q21+R21)*Z21*AA21</x:f>
        <x:v>12.984</x:v>
      </x:c>
      <x:c r="U21" s="180" t="n">
        <x:f>S21+T21</x:f>
        <x:v>17.968</x:v>
      </x:c>
      <x:c r="V21" s="181" t="n">
        <x:f>IFERROR(U21/'Parametry V13'!$B$8-1,0)</x:f>
        <x:v>0.024688795260700225</x:v>
      </x:c>
      <x:c r="W21" t="str">
        <x:f>IF(ABS(M21)&lt;='Parametry V13'!$B$6,"W PASMIE","DO TESTU")</x:f>
        <x:v>W PASMIE</x:v>
      </x:c>
      <x:c r="X21" t="str">
        <x:f>IF(ABS(V21)&lt;='Parametry V13'!$B$7,"W PASMIE","ODCHYLENIE")</x:f>
        <x:v>W PASMIE</x:v>
      </x:c>
      <x:c r="Y21" t="str">
        <x:v>Zmieniono statystyki</x:v>
      </x:c>
      <x:c r="Z21" t="n">
        <x:v>2.55</x:v>
      </x:c>
      <x:c r="AA21" t="n">
        <x:v>0.68</x:v>
      </x:c>
      <x:c r="AB21" t="n">
        <x:f>T21-S21</x:f>
        <x:v>8</x:v>
      </x:c>
    </x:row>
    <x:row r="22">
      <x:c r="A22" t="str">
        <x:v>S09</x:v>
      </x:c>
      <x:c r="B22" t="str">
        <x:v>Dzikie bestie</x:v>
      </x:c>
      <x:c r="C22" t="str">
        <x:v>Wilk Szponiasty</x:v>
      </x:c>
      <x:c r="D22" t="str">
        <x:v>Przy ataku</x:v>
      </x:c>
      <x:c r="E22" t="str">
        <x:v>Obrażenia</x:v>
      </x:c>
      <x:c r="F22" t="n">
        <x:v>3</x:v>
      </x:c>
      <x:c r="G22" t="n">
        <x:v>5</x:v>
      </x:c>
      <x:c r="H22" t="n">
        <x:v>2</x:v>
      </x:c>
      <x:c r="I22" t="n">
        <x:v>5</x:v>
      </x:c>
      <x:c r="J22" t="str">
        <x:v>Przed standardową walką zadaj 1 dodatkowe obrażenie celowi ataku.</x:v>
      </x:c>
      <x:c r="K22" t="str">
        <x:v>Przed standardową walką zadaj 1 dodatkowe obrażenie celowi ataku.</x:v>
      </x:c>
      <x:c r="L22" s="180" t="n">
        <x:v>6.9</x:v>
      </x:c>
      <x:c r="M22" s="180" t="n">
        <x:v>1.21</x:v>
      </x:c>
      <x:c r="N22" s="180" t="n">
        <x:v>1.8</x:v>
      </x:c>
      <x:c r="O22" t="n">
        <x:v>6</x:v>
      </x:c>
      <x:c r="P22" t="n">
        <x:v>0</x:v>
      </x:c>
      <x:c r="Q22" t="n">
        <x:v>1</x:v>
      </x:c>
      <x:c r="R22" t="n">
        <x:v>1</x:v>
      </x:c>
      <x:c r="S22" s="180" t="n">
        <x:f>H22+'Parametry V13'!$B$5*I22+Q22*Z22*AA22</x:f>
        <x:v>5.321</x:v>
      </x:c>
      <x:c r="T22" s="180" t="n">
        <x:f>H22+O22+'Parametry V13'!$B$5*(I22+P22)+(Q22+R22)*Z22*AA22</x:f>
        <x:v>12.392</x:v>
      </x:c>
      <x:c r="U22" s="180" t="n">
        <x:f>S22+T22</x:f>
        <x:v>17.713</x:v>
      </x:c>
      <x:c r="V22" s="181" t="n">
        <x:f>IFERROR(U22/'Parametry V13'!$B$8-1,0)</x:f>
        <x:v>0.010146517723329529</x:v>
      </x:c>
      <x:c r="W22" t="str">
        <x:f>IF(ABS(M22)&lt;='Parametry V13'!$B$6,"W PASMIE","DO TESTU")</x:f>
        <x:v>W PASMIE</x:v>
      </x:c>
      <x:c r="X22" t="str">
        <x:f>IF(ABS(V22)&lt;='Parametry V13'!$B$7,"W PASMIE","ODCHYLENIE")</x:f>
        <x:v>W PASMIE</x:v>
      </x:c>
      <x:c r="Y22" t="str">
        <x:v>Zmieniono statystyki</x:v>
      </x:c>
      <x:c r="Z22" t="n">
        <x:v>1</x:v>
      </x:c>
      <x:c r="AA22" t="n">
        <x:v>1.071</x:v>
      </x:c>
      <x:c r="AB22" t="n">
        <x:f>T22-S22</x:f>
        <x:v>7.071</x:v>
      </x:c>
    </x:row>
    <x:row r="23">
      <x:c r="A23" t="str">
        <x:v>S10</x:v>
      </x:c>
      <x:c r="B23" t="str">
        <x:v>Dzikie bestie</x:v>
      </x:c>
      <x:c r="C23" t="str">
        <x:v>Nietoperz Krwiożerca</x:v>
      </x:c>
      <x:c r="D23" t="str">
        <x:v>Przy ataku</x:v>
      </x:c>
      <x:c r="E23" t="str">
        <x:v>Leczenie</x:v>
      </x:c>
      <x:c r="F23" t="n">
        <x:v>2</x:v>
      </x:c>
      <x:c r="G23" t="n">
        <x:v>6</x:v>
      </x:c>
      <x:c r="H23" t="n">
        <x:v>2</x:v>
      </x:c>
      <x:c r="I23" t="n">
        <x:v>6</x:v>
      </x:c>
      <x:c r="J23" t="str">
        <x:v>Przed standardową walką ulecz tę jednostkę o 2 HP.</x:v>
      </x:c>
      <x:c r="K23" t="str">
        <x:v>Przed standardową walką ulecz tę jednostkę o 2 HP.</x:v>
      </x:c>
      <x:c r="L23" s="180" t="n">
        <x:v>0.84</x:v>
      </x:c>
      <x:c r="M23" s="180" t="n">
        <x:v>-2.26</x:v>
      </x:c>
      <x:c r="N23" s="180" t="n">
        <x:v>1.81</x:v>
      </x:c>
      <x:c r="O23" t="n">
        <x:v>0</x:v>
      </x:c>
      <x:c r="P23" t="n">
        <x:v>6</x:v>
      </x:c>
      <x:c r="Q23" t="n">
        <x:v>2</x:v>
      </x:c>
      <x:c r="R23" t="n">
        <x:v>1</x:v>
      </x:c>
      <x:c r="S23" s="180" t="n">
        <x:f>H23+'Parametry V13'!$B$5*I23+Q23*Z23*AA23</x:f>
        <x:v>5.8062656</x:v>
      </x:c>
      <x:c r="T23" s="180" t="n">
        <x:f>H23+O23+'Parametry V13'!$B$5*(I23+P23)+(Q23+R23)*Z23*AA23</x:f>
        <x:v>9.059398400000001</x:v>
      </x:c>
      <x:c r="U23" s="180" t="n">
        <x:f>S23+T23</x:f>
        <x:v>14.865664</x:v>
      </x:c>
      <x:c r="V23" s="181" t="n">
        <x:f>IFERROR(U23/'Parametry V13'!$B$8-1,0)</x:f>
        <x:v>-0.15223289543018903</x:v>
      </x:c>
      <x:c r="W23" t="str">
        <x:f>IF(ABS(M23)&lt;='Parametry V13'!$B$6,"W PASMIE","DO TESTU")</x:f>
        <x:v>W PASMIE</x:v>
      </x:c>
      <x:c r="X23" t="str">
        <x:f>IF(ABS(V23)&lt;='Parametry V13'!$B$7,"W PASMIE","ODCHYLENIE")</x:f>
        <x:v>ODCHYLENIE</x:v>
      </x:c>
      <x:c r="Y23" t="str">
        <x:v>Bez korekty statystyk</x:v>
      </x:c>
      <x:c r="Z23" t="n">
        <x:v>0.66</x:v>
      </x:c>
      <x:c r="AA23" t="n">
        <x:v>0.8380799999999999</x:v>
      </x:c>
      <x:c r="AB23" t="n">
        <x:f>T23-S23</x:f>
        <x:v>3.2531328000000013</x:v>
      </x:c>
    </x:row>
    <x:row r="24">
      <x:c r="A24" t="str">
        <x:v>S68</x:v>
      </x:c>
      <x:c r="B24" t="str">
        <x:v>Dzikie bestie</x:v>
      </x:c>
      <x:c r="C24" t="str">
        <x:v>Dzik Bursztynowych Kłów</x:v>
      </x:c>
      <x:c r="D24" t="str">
        <x:v>Przy ataku</x:v>
      </x:c>
      <x:c r="E24" t="str">
        <x:v>ATK ±</x:v>
      </x:c>
      <x:c r="F24" t="n">
        <x:v>2</x:v>
      </x:c>
      <x:c r="G24" t="n">
        <x:v>6</x:v>
      </x:c>
      <x:c r="H24" t="n">
        <x:v>1</x:v>
      </x:c>
      <x:c r="I24" t="n">
        <x:v>6</x:v>
      </x:c>
      <x:c r="J24" t="str">
        <x:v>Przed standardową walką wybierz: przyznaj sobie +1 ATK albo nałóż −1 ATK na atakowaną wrogą jednostkę, do końca bieżącej tury.</x:v>
      </x:c>
      <x:c r="K24" t="str">
        <x:v>Przed standardową walką wybierz: przyznaj sobie +1 ATK albo nałóż −1 ATK na atakowaną wrogą jednostkę, do końca bieżącej tury.</x:v>
      </x:c>
      <x:c r="L24" s="180" t="n">
        <x:v>6.62</x:v>
      </x:c>
      <x:c r="M24" s="180" t="n">
        <x:v>-0.41</x:v>
      </x:c>
      <x:c r="N24" s="180" t="n">
        <x:v>1.8</x:v>
      </x:c>
      <x:c r="O24" t="n">
        <x:v>6</x:v>
      </x:c>
      <x:c r="P24" t="n">
        <x:v>0</x:v>
      </x:c>
      <x:c r="Q24" t="n">
        <x:v>1</x:v>
      </x:c>
      <x:c r="R24" t="n">
        <x:v>1</x:v>
      </x:c>
      <x:c r="S24" s="180" t="n">
        <x:f>H24+'Parametry V13'!$B$5*I24+Q24*Z24*AA24</x:f>
        <x:v>4.66096</x:v>
      </x:c>
      <x:c r="T24" s="180" t="n">
        <x:f>H24+O24+'Parametry V13'!$B$5*(I24+P24)+(Q24+R24)*Z24*AA24</x:f>
        <x:v>11.62192</x:v>
      </x:c>
      <x:c r="U24" s="180" t="n">
        <x:f>S24+T24</x:f>
        <x:v>16.28288</x:v>
      </x:c>
      <x:c r="V24" s="181" t="n">
        <x:f>IFERROR(U24/'Parametry V13'!$B$8-1,0)</x:f>
        <x:v>-0.07141113698939505</x:v>
      </x:c>
      <x:c r="W24" t="str">
        <x:f>IF(ABS(M24)&lt;='Parametry V13'!$B$6,"W PASMIE","DO TESTU")</x:f>
        <x:v>W PASMIE</x:v>
      </x:c>
      <x:c r="X24" t="str">
        <x:f>IF(ABS(V24)&lt;='Parametry V13'!$B$7,"W PASMIE","ODCHYLENIE")</x:f>
        <x:v>W PASMIE</x:v>
      </x:c>
      <x:c r="Y24" t="str">
        <x:v>Zmieniono statystyki</x:v>
      </x:c>
      <x:c r="Z24" t="n">
        <x:v>1.05</x:v>
      </x:c>
      <x:c r="AA24" t="n">
        <x:v>0.9152</x:v>
      </x:c>
      <x:c r="AB24" t="n">
        <x:f>T24-S24</x:f>
        <x:v>6.960959999999999</x:v>
      </x:c>
    </x:row>
    <x:row r="25">
      <x:c r="A25" t="str">
        <x:v>S69</x:v>
      </x:c>
      <x:c r="B25" t="str">
        <x:v>Dzikie bestie</x:v>
      </x:c>
      <x:c r="C25" t="str">
        <x:v>Nosorożec Żelaznoskóry</x:v>
      </x:c>
      <x:c r="D25" t="str">
        <x:v>Przy ataku</x:v>
      </x:c>
      <x:c r="E25" t="str">
        <x:v>MAX HP ±</x:v>
      </x:c>
      <x:c r="F25" t="n">
        <x:v>1</x:v>
      </x:c>
      <x:c r="G25" t="n">
        <x:v>7</x:v>
      </x:c>
      <x:c r="H25" t="n">
        <x:v>3</x:v>
      </x:c>
      <x:c r="I25" t="n">
        <x:v>7</x:v>
      </x:c>
      <x:c r="J25" t="str">
        <x:v>Przed standardową walką wybierz: przyznaj sobie +1 MAX HP i +1 aktualnego HP albo obniż MAX HP atakowanej jednostki o 1 do końca jej najbliższej własnej tury.</x:v>
      </x:c>
      <x:c r="K25" t="str">
        <x:v>Przed standardową walką wybierz: przyznaj sobie +1 MAX HP i +1 aktualnego HP albo obniż MAX HP atakowanej jednostki o 1 do końca jej najbliższej własnej tury.</x:v>
      </x:c>
      <x:c r="L25" s="180" t="n">
        <x:v>-8.81</x:v>
      </x:c>
      <x:c r="M25" s="180" t="n">
        <x:v>-0.86</x:v>
      </x:c>
      <x:c r="N25" s="180" t="n">
        <x:v>1.81</x:v>
      </x:c>
      <x:c r="O25" t="n">
        <x:v>0</x:v>
      </x:c>
      <x:c r="P25" t="n">
        <x:v>6</x:v>
      </x:c>
      <x:c r="Q25" t="n">
        <x:v>1</x:v>
      </x:c>
      <x:c r="R25" t="n">
        <x:v>1</x:v>
      </x:c>
      <x:c r="S25" s="180" t="n">
        <x:f>H25+'Parametry V13'!$B$5*I25+Q25*Z25*AA25</x:f>
        <x:v>6.625904</x:v>
      </x:c>
      <x:c r="T25" s="180" t="n">
        <x:f>H25+O25+'Parametry V13'!$B$5*(I25+P25)+(Q25+R25)*Z25*AA25</x:f>
        <x:v>9.801808000000001</x:v>
      </x:c>
      <x:c r="U25" s="180" t="n">
        <x:f>S25+T25</x:f>
        <x:v>16.427712</x:v>
      </x:c>
      <x:c r="V25" s="181" t="n">
        <x:f>IFERROR(U25/'Parametry V13'!$B$8-1,0)</x:f>
        <x:v>-0.06315157957648332</x:v>
      </x:c>
      <x:c r="W25" t="str">
        <x:f>IF(ABS(M25)&lt;='Parametry V13'!$B$6,"W PASMIE","DO TESTU")</x:f>
        <x:v>W PASMIE</x:v>
      </x:c>
      <x:c r="X25" t="str">
        <x:f>IF(ABS(V25)&lt;='Parametry V13'!$B$7,"W PASMIE","ODCHYLENIE")</x:f>
        <x:v>W PASMIE</x:v>
      </x:c>
      <x:c r="Y25" t="str">
        <x:v>Zmieniono statystyki</x:v>
      </x:c>
      <x:c r="Z25" t="n">
        <x:v>0.52</x:v>
      </x:c>
      <x:c r="AA25" t="n">
        <x:v>0.9152</x:v>
      </x:c>
      <x:c r="AB25" t="n">
        <x:f>T25-S25</x:f>
        <x:v>3.175904000000001</x:v>
      </x:c>
    </x:row>
    <x:row r="26">
      <x:c r="A26" t="str">
        <x:v>S12</x:v>
      </x:c>
      <x:c r="B26" t="str">
        <x:v>Dzikie bestie</x:v>
      </x:c>
      <x:c r="C26" t="str">
        <x:v>Żarłacz Pancerzy</x:v>
      </x:c>
      <x:c r="D26" t="str">
        <x:v>Przy ataku</x:v>
      </x:c>
      <x:c r="E26" t="str">
        <x:v>Pancerz</x:v>
      </x:c>
      <x:c r="F26" t="n">
        <x:v>3</x:v>
      </x:c>
      <x:c r="G26" t="n">
        <x:v>6</x:v>
      </x:c>
      <x:c r="H26" t="n">
        <x:v>4</x:v>
      </x:c>
      <x:c r="I26" t="n">
        <x:v>5</x:v>
      </x:c>
      <x:c r="J26" t="str">
        <x:v>Przed standardową walką usuń do 2 punktów pancerza z celu ataku.</x:v>
      </x:c>
      <x:c r="K26" t="str">
        <x:v>Przed standardową walką usuń do 2 punktów pancerza z celu ataku.</x:v>
      </x:c>
      <x:c r="L26" s="180" t="n">
        <x:v>-1.81</x:v>
      </x:c>
      <x:c r="M26" s="180" t="n">
        <x:v>-0.96</x:v>
      </x:c>
      <x:c r="N26" s="180" t="n">
        <x:v>1.81</x:v>
      </x:c>
      <x:c r="O26" t="n">
        <x:v>0</x:v>
      </x:c>
      <x:c r="P26" t="n">
        <x:v>6</x:v>
      </x:c>
      <x:c r="Q26" t="n">
        <x:v>2</x:v>
      </x:c>
      <x:c r="R26" t="n">
        <x:v>1</x:v>
      </x:c>
      <x:c r="S26" s="180" t="n">
        <x:f>H26+'Parametry V13'!$B$5*I26+Q26*Z26*AA26</x:f>
        <x:v>7.193008</x:v>
      </x:c>
      <x:c r="T26" s="180" t="n">
        <x:f>H26+O26+'Parametry V13'!$B$5*(I26+P26)+(Q26+R26)*Z26*AA26</x:f>
        <x:v>10.364512</x:v>
      </x:c>
      <x:c r="U26" s="180" t="n">
        <x:f>S26+T26</x:f>
        <x:v>17.55752</x:v>
      </x:c>
      <x:c r="V26" s="181" t="n">
        <x:f>IFERROR(U26/'Parametry V13'!$B$8-1,0)</x:f>
        <x:v>0.0012797204232886106</x:v>
      </x:c>
      <x:c r="W26" t="str">
        <x:f>IF(ABS(M26)&lt;='Parametry V13'!$B$6,"W PASMIE","DO TESTU")</x:f>
        <x:v>W PASMIE</x:v>
      </x:c>
      <x:c r="X26" t="str">
        <x:f>IF(ABS(V26)&lt;='Parametry V13'!$B$7,"W PASMIE","ODCHYLENIE")</x:f>
        <x:v>W PASMIE</x:v>
      </x:c>
      <x:c r="Y26" t="str">
        <x:v>Zmieniono statystyki</x:v>
      </x:c>
      <x:c r="Z26" t="n">
        <x:v>0.55</x:v>
      </x:c>
      <x:c r="AA26" t="n">
        <x:v>0.8572799999999999</x:v>
      </x:c>
      <x:c r="AB26" t="n">
        <x:f>T26-S26</x:f>
        <x:v>3.1715039999999997</x:v>
      </x:c>
    </x:row>
    <x:row r="27">
      <x:c r="A27" t="str">
        <x:v>S70</x:v>
      </x:c>
      <x:c r="B27" t="str">
        <x:v>Dzikie bestie</x:v>
      </x:c>
      <x:c r="C27" t="str">
        <x:v>Żółw Rogaty</x:v>
      </x:c>
      <x:c r="D27" t="str">
        <x:v>Przy ataku</x:v>
      </x:c>
      <x:c r="E27" t="str">
        <x:v>Tarcza</x:v>
      </x:c>
      <x:c r="F27" t="n">
        <x:v>1</x:v>
      </x:c>
      <x:c r="G27" t="n">
        <x:v>6</x:v>
      </x:c>
      <x:c r="H27" t="n">
        <x:v>3</x:v>
      </x:c>
      <x:c r="I27" t="n">
        <x:v>6</x:v>
      </x:c>
      <x:c r="J27" t="str">
        <x:v>Przed standardową walką daj sobie 1 tarczę, jeśli jeszcze jej nie posiadasz.</x:v>
      </x:c>
      <x:c r="K27" t="str">
        <x:v>Przed standardową walką daj sobie 1 tarczę, jeśli jeszcze jej nie posiadasz.</x:v>
      </x:c>
      <x:c r="L27" s="180" t="n">
        <x:v>-9.27</x:v>
      </x:c>
      <x:c r="M27" s="180" t="n">
        <x:v>3.25</x:v>
      </x:c>
      <x:c r="N27" s="180" t="n">
        <x:v>1.8</x:v>
      </x:c>
      <x:c r="O27" t="n">
        <x:v>0</x:v>
      </x:c>
      <x:c r="P27" t="n">
        <x:v>9</x:v>
      </x:c>
      <x:c r="Q27" t="n">
        <x:v>1</x:v>
      </x:c>
      <x:c r="R27" t="n">
        <x:v>0</x:v>
      </x:c>
      <x:c r="S27" s="180" t="n">
        <x:f>H27+'Parametry V13'!$B$5*I27+Q27*Z27*AA27</x:f>
        <x:v>7.241804</x:v>
      </x:c>
      <x:c r="T27" s="180" t="n">
        <x:f>H27+O27+'Parametry V13'!$B$5*(I27+P27)+(Q27+R27)*Z27*AA27</x:f>
        <x:v>11.291804</x:v>
      </x:c>
      <x:c r="U27" s="180" t="n">
        <x:f>S27+T27</x:f>
        <x:v>18.533608</x:v>
      </x:c>
      <x:c r="V27" s="181" t="n">
        <x:f>IFERROR(U27/'Parametry V13'!$B$8-1,0)</x:f>
        <x:v>0.05694459335229718</x:v>
      </x:c>
      <x:c r="W27" t="str">
        <x:f>IF(ABS(M27)&lt;='Parametry V13'!$B$6,"W PASMIE","DO TESTU")</x:f>
        <x:v>W PASMIE</x:v>
      </x:c>
      <x:c r="X27" t="str">
        <x:f>IF(ABS(V27)&lt;='Parametry V13'!$B$7,"W PASMIE","ODCHYLENIE")</x:f>
        <x:v>W PASMIE</x:v>
      </x:c>
      <x:c r="Y27" t="str">
        <x:v>Zmieniono statystyki</x:v>
      </x:c>
      <x:c r="Z27" t="n">
        <x:v>2.2</x:v>
      </x:c>
      <x:c r="AA27" t="n">
        <x:v>0.7008200000000001</x:v>
      </x:c>
      <x:c r="AB27" t="n">
        <x:f>T27-S27</x:f>
        <x:v>4.050000000000001</x:v>
      </x:c>
    </x:row>
    <x:row r="28">
      <x:c r="A28" t="str">
        <x:v>S11</x:v>
      </x:c>
      <x:c r="B28" t="str">
        <x:v>Dzikie bestie</x:v>
      </x:c>
      <x:c r="C28" t="str">
        <x:v>Jadowita Żmija</x:v>
      </x:c>
      <x:c r="D28" t="str">
        <x:v>Przy ataku</x:v>
      </x:c>
      <x:c r="E28" t="str">
        <x:v>Trucizna</x:v>
      </x:c>
      <x:c r="F28" t="n">
        <x:v>2</x:v>
      </x:c>
      <x:c r="G28" t="n">
        <x:v>5</x:v>
      </x:c>
      <x:c r="H28" t="n">
        <x:v>1</x:v>
      </x:c>
      <x:c r="I28" t="n">
        <x:v>5</x:v>
      </x:c>
      <x:c r="J28" t="str">
        <x:v>Nałóż na cel ataku truciznę: 1 obrażenie przez 2 jego własne tury.</x:v>
      </x:c>
      <x:c r="K28" t="str">
        <x:v>Nałóż na cel ataku truciznę: 1 obrażenie przez 2 jego własne tury.</x:v>
      </x:c>
      <x:c r="L28" s="180" t="n">
        <x:v>4.31</x:v>
      </x:c>
      <x:c r="M28" s="180" t="n">
        <x:v>-2.89</x:v>
      </x:c>
      <x:c r="N28" s="180" t="n">
        <x:v>1.8</x:v>
      </x:c>
      <x:c r="O28" t="n">
        <x:v>6</x:v>
      </x:c>
      <x:c r="P28" t="n">
        <x:v>0</x:v>
      </x:c>
      <x:c r="Q28" t="n">
        <x:v>2</x:v>
      </x:c>
      <x:c r="R28" t="n">
        <x:v>1</x:v>
      </x:c>
      <x:c r="S28" s="180" t="n">
        <x:f>H28+'Parametry V13'!$B$5*I28+Q28*Z28*AA28</x:f>
        <x:v>4.496752</x:v>
      </x:c>
      <x:c r="T28" s="180" t="n">
        <x:f>H28+O28+'Parametry V13'!$B$5*(I28+P28)+(Q28+R28)*Z28*AA28</x:f>
        <x:v>11.120128</x:v>
      </x:c>
      <x:c r="U28" s="180" t="n">
        <x:f>S28+T28</x:f>
        <x:v>15.616879999999998</x:v>
      </x:c>
      <x:c r="V28" s="181" t="n">
        <x:f>IFERROR(U28/'Parametry V13'!$B$8-1,0)</x:f>
        <x:v>-0.10939214420464594</x:v>
      </x:c>
      <x:c r="W28" t="str">
        <x:f>IF(ABS(M28)&lt;='Parametry V13'!$B$6,"W PASMIE","DO TESTU")</x:f>
        <x:v>W PASMIE</x:v>
      </x:c>
      <x:c r="X28" t="str">
        <x:f>IF(ABS(V28)&lt;='Parametry V13'!$B$7,"W PASMIE","ODCHYLENIE")</x:f>
        <x:v>W PASMIE</x:v>
      </x:c>
      <x:c r="Y28" t="str">
        <x:v>Zmieniono statystyki</x:v>
      </x:c>
      <x:c r="Z28" t="n">
        <x:v>0.78</x:v>
      </x:c>
      <x:c r="AA28" t="n">
        <x:v>0.7991999999999999</x:v>
      </x:c>
      <x:c r="AB28" t="n">
        <x:f>T28-S28</x:f>
        <x:v>6.6233759999999995</x:v>
      </x:c>
    </x:row>
    <x:row r="29">
      <x:c r="A29" t="str">
        <x:v>S15</x:v>
      </x:c>
      <x:c r="B29" t="str">
        <x:v>Dzikie bestie</x:v>
      </x:c>
      <x:c r="C29" t="str">
        <x:v>Niedźwiedź Grzmotu</x:v>
      </x:c>
      <x:c r="D29" t="str">
        <x:v>Przy ataku</x:v>
      </x:c>
      <x:c r="E29" t="str">
        <x:v>Ogłuszenie</x:v>
      </x:c>
      <x:c r="F29" t="n">
        <x:v>1</x:v>
      </x:c>
      <x:c r="G29" t="n">
        <x:v>6</x:v>
      </x:c>
      <x:c r="H29" t="n">
        <x:v>1</x:v>
      </x:c>
      <x:c r="I29" t="n">
        <x:v>6</x:v>
      </x:c>
      <x:c r="J29" t="str">
        <x:v>Gdy atakujesz jednostkę, ogłusz ją na 1 jej własną turę przed standardową walką.</x:v>
      </x:c>
      <x:c r="K29" t="str">
        <x:v>Gdy atakujesz jednostkę, ogłusz ją na 1 jej własną turę przed standardową walką.</x:v>
      </x:c>
      <x:c r="L29" s="180" t="n">
        <x:v>3.85</x:v>
      </x:c>
      <x:c r="M29" s="180" t="n">
        <x:v>0.36</x:v>
      </x:c>
      <x:c r="N29" s="180" t="n">
        <x:v>1.8</x:v>
      </x:c>
      <x:c r="O29" t="n">
        <x:v>3</x:v>
      </x:c>
      <x:c r="P29" t="n">
        <x:v>3</x:v>
      </x:c>
      <x:c r="Q29" t="n">
        <x:v>1</x:v>
      </x:c>
      <x:c r="R29" t="n">
        <x:v>1</x:v>
      </x:c>
      <x:c r="S29" s="180" t="n">
        <x:f>H29+'Parametry V13'!$B$5*I29+Q29*Z29*AA29</x:f>
        <x:v>5.64768</x:v>
      </x:c>
      <x:c r="T29" s="180" t="n">
        <x:f>H29+O29+'Parametry V13'!$B$5*(I29+P29)+(Q29+R29)*Z29*AA29</x:f>
        <x:v>11.94536</x:v>
      </x:c>
      <x:c r="U29" s="180" t="n">
        <x:f>S29+T29</x:f>
        <x:v>17.593040000000002</x:v>
      </x:c>
      <x:c r="V29" s="181" t="n">
        <x:f>IFERROR(U29/'Parametry V13'!$B$8-1,0)</x:f>
        <x:v>0.003305374141435502</x:v>
      </x:c>
      <x:c r="W29" t="str">
        <x:f>IF(ABS(M29)&lt;='Parametry V13'!$B$6,"W PASMIE","DO TESTU")</x:f>
        <x:v>W PASMIE</x:v>
      </x:c>
      <x:c r="X29" t="str">
        <x:f>IF(ABS(V29)&lt;='Parametry V13'!$B$7,"W PASMIE","ODCHYLENIE")</x:f>
        <x:v>W PASMIE</x:v>
      </x:c>
      <x:c r="Y29" t="str">
        <x:v>Bez korekty statystyk</x:v>
      </x:c>
      <x:c r="Z29" t="n">
        <x:v>2.35</x:v>
      </x:c>
      <x:c r="AA29" t="n">
        <x:v>0.8287999999999999</x:v>
      </x:c>
      <x:c r="AB29" t="n">
        <x:f>T29-S29</x:f>
        <x:v>6.297680000000001</x:v>
      </x:c>
    </x:row>
    <x:row r="30">
      <x:c r="A30" t="str">
        <x:v>S71</x:v>
      </x:c>
      <x:c r="B30" t="str">
        <x:v>Dzikie bestie</x:v>
      </x:c>
      <x:c r="C30" t="str">
        <x:v>Salamandra Odnowy</x:v>
      </x:c>
      <x:c r="D30" t="str">
        <x:v>Przy ataku</x:v>
      </x:c>
      <x:c r="E30" t="str">
        <x:v>Regeneracja</x:v>
      </x:c>
      <x:c r="F30" t="n">
        <x:v>1</x:v>
      </x:c>
      <x:c r="G30" t="n">
        <x:v>6</x:v>
      </x:c>
      <x:c r="H30" t="n">
        <x:v>2</x:v>
      </x:c>
      <x:c r="I30" t="n">
        <x:v>6</x:v>
      </x:c>
      <x:c r="J30" t="str">
        <x:v>Przed standardową walką nałóż na tę jednostkę regenerację 1 HP przez 2 własne tury.</x:v>
      </x:c>
      <x:c r="K30" t="str">
        <x:v>Przed standardową walką nałóż na tę jednostkę regenerację 1 HP przez 2 własne tury.</x:v>
      </x:c>
      <x:c r="L30" s="180" t="n">
        <x:v>-3.26</x:v>
      </x:c>
      <x:c r="M30" s="180" t="n">
        <x:v>-0.15</x:v>
      </x:c>
      <x:c r="N30" s="180" t="n">
        <x:v>1.8</x:v>
      </x:c>
      <x:c r="O30" t="n">
        <x:v>0</x:v>
      </x:c>
      <x:c r="P30" t="n">
        <x:v>6</x:v>
      </x:c>
      <x:c r="Q30" t="n">
        <x:v>2</x:v>
      </x:c>
      <x:c r="R30" t="n">
        <x:v>1</x:v>
      </x:c>
      <x:c r="S30" s="180" t="n">
        <x:f>H30+'Parametry V13'!$B$5*I30+Q30*Z30*AA30</x:f>
        <x:v>5.2964024</x:v>
      </x:c>
      <x:c r="T30" s="180" t="n">
        <x:f>H30+O30+'Parametry V13'!$B$5*(I30+P30)+(Q30+R30)*Z30*AA30</x:f>
        <x:v>8.2946036</x:v>
      </x:c>
      <x:c r="U30" s="180" t="n">
        <x:f>S30+T30</x:f>
        <x:v>13.591006</x:v>
      </x:c>
      <x:c r="V30" s="181" t="n">
        <x:f>IFERROR(U30/'Parametry V13'!$B$8-1,0)</x:f>
        <x:v>-0.22492477935658128</x:v>
      </x:c>
      <x:c r="W30" t="str">
        <x:f>IF(ABS(M30)&lt;='Parametry V13'!$B$6,"W PASMIE","DO TESTU")</x:f>
        <x:v>W PASMIE</x:v>
      </x:c>
      <x:c r="X30" t="str">
        <x:f>IF(ABS(V30)&lt;='Parametry V13'!$B$7,"W PASMIE","ODCHYLENIE")</x:f>
        <x:v>ODCHYLENIE</x:v>
      </x:c>
      <x:c r="Y30" t="str">
        <x:v>Zmieniono statystyki</x:v>
      </x:c>
      <x:c r="Z30" t="n">
        <x:v>0.41</x:v>
      </x:c>
      <x:c r="AA30" t="n">
        <x:v>0.72732</x:v>
      </x:c>
      <x:c r="AB30" t="n">
        <x:f>T30-S30</x:f>
        <x:v>2.9982012000000005</x:v>
      </x:c>
    </x:row>
    <x:row r="31">
      <x:c r="A31" t="str">
        <x:v>S72</x:v>
      </x:c>
      <x:c r="B31" t="str">
        <x:v>Dzikie bestie</x:v>
      </x:c>
      <x:c r="C31" t="str">
        <x:v>Bawół Strażnik</x:v>
      </x:c>
      <x:c r="D31" t="str">
        <x:v>Przy ataku</x:v>
      </x:c>
      <x:c r="E31" t="str">
        <x:v>Prowokacja</x:v>
      </x:c>
      <x:c r="F31" t="n">
        <x:v>1</x:v>
      </x:c>
      <x:c r="G31" t="n">
        <x:v>8</x:v>
      </x:c>
      <x:c r="H31" t="n">
        <x:v>2</x:v>
      </x:c>
      <x:c r="I31" t="n">
        <x:v>8</x:v>
      </x:c>
      <x:c r="J31" t="str">
        <x:v>Przed standardową walką nadaj tej jednostce prowokację do końca jej najbliższej własnej tury.</x:v>
      </x:c>
      <x:c r="K31" t="str">
        <x:v>Przed standardową walką nadaj tej jednostce prowokację do końca jej najbliższej własnej tury.</x:v>
      </x:c>
      <x:c r="L31" s="180" t="n">
        <x:v>-4.12</x:v>
      </x:c>
      <x:c r="M31" s="180" t="n">
        <x:v>-2</x:v>
      </x:c>
      <x:c r="N31" s="180" t="n">
        <x:v>1.8</x:v>
      </x:c>
      <x:c r="O31" t="n">
        <x:v>0</x:v>
      </x:c>
      <x:c r="P31" t="n">
        <x:v>9</x:v>
      </x:c>
      <x:c r="Q31" t="n">
        <x:v>1</x:v>
      </x:c>
      <x:c r="R31" t="n">
        <x:v>0</x:v>
      </x:c>
      <x:c r="S31" s="180" t="n">
        <x:f>H31+'Parametry V13'!$B$5*I31+Q31*Z31*AA31</x:f>
        <x:v>6.624352</x:v>
      </x:c>
      <x:c r="T31" s="180" t="n">
        <x:f>H31+O31+'Parametry V13'!$B$5*(I31+P31)+(Q31+R31)*Z31*AA31</x:f>
        <x:v>10.674352</x:v>
      </x:c>
      <x:c r="U31" s="180" t="n">
        <x:f>S31+T31</x:f>
        <x:v>17.298704</x:v>
      </x:c>
      <x:c r="V31" s="181" t="n">
        <x:f>IFERROR(U31/'Parametry V13'!$B$8-1,0)</x:f>
        <x:v>-0.013480178020288447</x:v>
      </x:c>
      <x:c r="W31" t="str">
        <x:f>IF(ABS(M31)&lt;='Parametry V13'!$B$6,"W PASMIE","DO TESTU")</x:f>
        <x:v>W PASMIE</x:v>
      </x:c>
      <x:c r="X31" t="str">
        <x:f>IF(ABS(V31)&lt;='Parametry V13'!$B$7,"W PASMIE","ODCHYLENIE")</x:f>
        <x:v>W PASMIE</x:v>
      </x:c>
      <x:c r="Y31" t="str">
        <x:v>Zmieniono statystyki</x:v>
      </x:c>
      <x:c r="Z31" t="n">
        <x:v>1.4</x:v>
      </x:c>
      <x:c r="AA31" t="n">
        <x:v>0.7316800000000001</x:v>
      </x:c>
      <x:c r="AB31" t="n">
        <x:f>T31-S31</x:f>
        <x:v>4.050000000000001</x:v>
      </x:c>
    </x:row>
    <x:row r="32">
      <x:c r="A32" t="str">
        <x:v>S74</x:v>
      </x:c>
      <x:c r="B32" t="str">
        <x:v>Dzikie bestie</x:v>
      </x:c>
      <x:c r="C32" t="str">
        <x:v>Lis Oczyszczający</x:v>
      </x:c>
      <x:c r="D32" t="str">
        <x:v>Przy ataku</x:v>
      </x:c>
      <x:c r="E32" t="str">
        <x:v>Oczyszczanie</x:v>
      </x:c>
      <x:c r="F32" t="n">
        <x:v>1</x:v>
      </x:c>
      <x:c r="G32" t="n">
        <x:v>6</x:v>
      </x:c>
      <x:c r="H32" t="n">
        <x:v>1</x:v>
      </x:c>
      <x:c r="I32" t="n">
        <x:v>6</x:v>
      </x:c>
      <x:c r="J32" t="str">
        <x:v>Gdy atakujesz jednostkę, usuń z niej wszystkie tymczasowe pozytywne efekty przed standardową walką.</x:v>
      </x:c>
      <x:c r="K32" t="str">
        <x:v>Gdy atakujesz jednostkę, usuń z niej wszystkie tymczasowe pozytywne efekty przed standardową walką.</x:v>
      </x:c>
      <x:c r="L32" s="180" t="n">
        <x:v>2.13</x:v>
      </x:c>
      <x:c r="M32" s="180" t="n">
        <x:v>-1.47</x:v>
      </x:c>
      <x:c r="N32" s="180" t="n">
        <x:v>1.8</x:v>
      </x:c>
      <x:c r="O32" t="n">
        <x:v>3</x:v>
      </x:c>
      <x:c r="P32" t="n">
        <x:v>3</x:v>
      </x:c>
      <x:c r="Q32" t="n">
        <x:v>1</x:v>
      </x:c>
      <x:c r="R32" t="n">
        <x:v>1</x:v>
      </x:c>
      <x:c r="S32" s="180" t="n">
        <x:f>H32+'Parametry V13'!$B$5*I32+Q32*Z32*AA32</x:f>
        <x:v>4.460275</x:v>
      </x:c>
      <x:c r="T32" s="180" t="n">
        <x:f>H32+O32+'Parametry V13'!$B$5*(I32+P32)+(Q32+R32)*Z32*AA32</x:f>
        <x:v>9.57055</x:v>
      </x:c>
      <x:c r="U32" s="180" t="n">
        <x:f>S32+T32</x:f>
        <x:v>14.030825</x:v>
      </x:c>
      <x:c r="V32" s="181" t="n">
        <x:f>IFERROR(U32/'Parametry V13'!$B$8-1,0)</x:f>
        <x:v>-0.19984254420282088</x:v>
      </x:c>
      <x:c r="W32" t="str">
        <x:f>IF(ABS(M32)&lt;='Parametry V13'!$B$6,"W PASMIE","DO TESTU")</x:f>
        <x:v>W PASMIE</x:v>
      </x:c>
      <x:c r="X32" t="str">
        <x:f>IF(ABS(V32)&lt;='Parametry V13'!$B$7,"W PASMIE","ODCHYLENIE")</x:f>
        <x:v>ODCHYLENIE</x:v>
      </x:c>
      <x:c r="Y32" t="str">
        <x:v>Bez korekty statystyk</x:v>
      </x:c>
      <x:c r="Z32" t="n">
        <x:v>1.55</x:v>
      </x:c>
      <x:c r="AA32" t="n">
        <x:v>0.49050000000000005</x:v>
      </x:c>
      <x:c r="AB32" t="n">
        <x:f>T32-S32</x:f>
        <x:v>5.110275000000001</x:v>
      </x:c>
    </x:row>
    <x:row r="33">
      <x:c r="A33" t="str">
        <x:v>S76</x:v>
      </x:c>
      <x:c r="B33" t="str">
        <x:v>Dzikie bestie</x:v>
      </x:c>
      <x:c r="C33" t="str">
        <x:v>Miodożer Nieugięty</x:v>
      </x:c>
      <x:c r="D33" t="str">
        <x:v>Przy ataku</x:v>
      </x:c>
      <x:c r="E33" t="str">
        <x:v>Odporność</x:v>
      </x:c>
      <x:c r="F33" t="n">
        <x:v>2</x:v>
      </x:c>
      <x:c r="G33" t="n">
        <x:v>6</x:v>
      </x:c>
      <x:c r="H33" t="n">
        <x:v>4</x:v>
      </x:c>
      <x:c r="I33" t="n">
        <x:v>6</x:v>
      </x:c>
      <x:c r="J33" t="str">
        <x:v>Przed standardową walką zyskaj odporność na ogłuszenie do końca własnej najbliższej tury.</x:v>
      </x:c>
      <x:c r="K33" t="str">
        <x:v>Przed standardową walką zyskaj odporność na ogłuszenie do końca własnej najbliższej tury.</x:v>
      </x:c>
      <x:c r="L33" s="180" t="n">
        <x:v>-5.38</x:v>
      </x:c>
      <x:c r="M33" s="180" t="n">
        <x:v>1.17</x:v>
      </x:c>
      <x:c r="N33" s="180" t="n">
        <x:v>1.8</x:v>
      </x:c>
      <x:c r="O33" t="n">
        <x:v>0</x:v>
      </x:c>
      <x:c r="P33" t="n">
        <x:v>6</x:v>
      </x:c>
      <x:c r="Q33" t="n">
        <x:v>1</x:v>
      </x:c>
      <x:c r="R33" t="n">
        <x:v>1</x:v>
      </x:c>
      <x:c r="S33" s="180" t="n">
        <x:f>H33+'Parametry V13'!$B$5*I33+Q33*Z33*AA33</x:f>
        <x:v>7.41016</x:v>
      </x:c>
      <x:c r="T33" s="180" t="n">
        <x:f>H33+O33+'Parametry V13'!$B$5*(I33+P33)+(Q33+R33)*Z33*AA33</x:f>
        <x:v>10.82032</x:v>
      </x:c>
      <x:c r="U33" s="180" t="n">
        <x:f>S33+T33</x:f>
        <x:v>18.23048</x:v>
      </x:c>
      <x:c r="V33" s="181" t="n">
        <x:f>IFERROR(U33/'Parametry V13'!$B$8-1,0)</x:f>
        <x:v>0.03965764627250068</x:v>
      </x:c>
      <x:c r="W33" t="str">
        <x:f>IF(ABS(M33)&lt;='Parametry V13'!$B$6,"W PASMIE","DO TESTU")</x:f>
        <x:v>W PASMIE</x:v>
      </x:c>
      <x:c r="X33" t="str">
        <x:f>IF(ABS(V33)&lt;='Parametry V13'!$B$7,"W PASMIE","ODCHYLENIE")</x:f>
        <x:v>W PASMIE</x:v>
      </x:c>
      <x:c r="Y33" t="str">
        <x:v>Zmieniono statystyki</x:v>
      </x:c>
      <x:c r="Z33" t="n">
        <x:v>1.2</x:v>
      </x:c>
      <x:c r="AA33" t="n">
        <x:v>0.5918000000000001</x:v>
      </x:c>
      <x:c r="AB33" t="n">
        <x:f>T33-S33</x:f>
        <x:v>3.4101600000000003</x:v>
      </x:c>
    </x:row>
    <x:row r="34">
      <x:c r="A34" t="str">
        <x:v>S78</x:v>
      </x:c>
      <x:c r="B34" t="str">
        <x:v>Dzikie bestie</x:v>
      </x:c>
      <x:c r="C34" t="str">
        <x:v>Gepard Burzowy</x:v>
      </x:c>
      <x:c r="D34" t="str">
        <x:v>Przy ataku</x:v>
      </x:c>
      <x:c r="E34" t="str">
        <x:v>Szybki atak</x:v>
      </x:c>
      <x:c r="F34" t="n">
        <x:v>3</x:v>
      </x:c>
      <x:c r="G34" t="n">
        <x:v>4</x:v>
      </x:c>
      <x:c r="H34" t="n">
        <x:v>2</x:v>
      </x:c>
      <x:c r="I34" t="n">
        <x:v>4</x:v>
      </x:c>
      <x:c r="J34" t="str">
        <x:v>Przed standardową walką nadaj wybranej innej sojuszniczej jednostce wystawionej w tej turze możliwość atakowania już teraz.</x:v>
      </x:c>
      <x:c r="K34" t="str">
        <x:v>Przed standardową walką nadaj wybranej innej sojuszniczej jednostce wystawionej w tej turze możliwość atakowania już teraz.</x:v>
      </x:c>
      <x:c r="L34" s="180" t="n">
        <x:v>5.42</x:v>
      </x:c>
      <x:c r="M34" s="180" t="n">
        <x:v>-1.57</x:v>
      </x:c>
      <x:c r="N34" s="180" t="n">
        <x:v>1.8</x:v>
      </x:c>
      <x:c r="O34" t="n">
        <x:v>8</x:v>
      </x:c>
      <x:c r="P34" t="n">
        <x:v>1</x:v>
      </x:c>
      <x:c r="Q34" t="n">
        <x:v>1</x:v>
      </x:c>
      <x:c r="R34" t="n">
        <x:v>0</x:v>
      </x:c>
      <x:c r="S34" s="180" t="n">
        <x:f>H34+'Parametry V13'!$B$5*I34+Q34*Z34*AA34</x:f>
        <x:v>4.921256</x:v>
      </x:c>
      <x:c r="T34" s="180" t="n">
        <x:f>H34+O34+'Parametry V13'!$B$5*(I34+P34)+(Q34+R34)*Z34*AA34</x:f>
        <x:v>13.371256</x:v>
      </x:c>
      <x:c r="U34" s="180" t="n">
        <x:f>S34+T34</x:f>
        <x:v>18.292512000000002</x:v>
      </x:c>
      <x:c r="V34" s="181" t="n">
        <x:f>IFERROR(U34/'Parametry V13'!$B$8-1,0)</x:f>
        <x:v>0.043195240626219045</x:v>
      </x:c>
      <x:c r="W34" t="str">
        <x:f>IF(ABS(M34)&lt;='Parametry V13'!$B$6,"W PASMIE","DO TESTU")</x:f>
        <x:v>W PASMIE</x:v>
      </x:c>
      <x:c r="X34" t="str">
        <x:f>IF(ABS(V34)&lt;='Parametry V13'!$B$7,"W PASMIE","ODCHYLENIE")</x:f>
        <x:v>W PASMIE</x:v>
      </x:c>
      <x:c r="Y34" t="str">
        <x:v>Zmieniono statystyki</x:v>
      </x:c>
      <x:c r="Z34" t="n">
        <x:v>1.8</x:v>
      </x:c>
      <x:c r="AA34" t="n">
        <x:v>0.62292</x:v>
      </x:c>
      <x:c r="AB34" t="n">
        <x:f>T34-S34</x:f>
        <x:v>8.450000000000001</x:v>
      </x:c>
    </x:row>
    <x:row r="35">
      <x:c r="A35" t="str">
        <x:v>S79</x:v>
      </x:c>
      <x:c r="B35" t="str">
        <x:v>Dzikie bestie</x:v>
      </x:c>
      <x:c r="C35" t="str">
        <x:v>Dwugłowa Hiena</x:v>
      </x:c>
      <x:c r="D35" t="str">
        <x:v>Przy ataku</x:v>
      </x:c>
      <x:c r="E35" t="str">
        <x:v>Podwójny atak</x:v>
      </x:c>
      <x:c r="F35" t="n">
        <x:v>2</x:v>
      </x:c>
      <x:c r="G35" t="n">
        <x:v>5</x:v>
      </x:c>
      <x:c r="H35" t="n">
        <x:v>1</x:v>
      </x:c>
      <x:c r="I35" t="n">
        <x:v>5</x:v>
      </x:c>
      <x:c r="J35" t="str">
        <x:v>Gdy wykonujesz pierwszy atak w tej turze, otrzymaj Podwójny atak do końca bieżącej tury: możesz zaatakować drugi raz.</x:v>
      </x:c>
      <x:c r="K35" t="str">
        <x:v>Gdy wykonujesz pierwszy atak w tej turze, otrzymaj Podwójny atak do końca bieżącej tury: możesz zaatakować drugi raz.</x:v>
      </x:c>
      <x:c r="L35" s="180" t="n">
        <x:v>6.69</x:v>
      </x:c>
      <x:c r="M35" s="180" t="n">
        <x:v>0.89</x:v>
      </x:c>
      <x:c r="N35" s="180" t="n">
        <x:v>1.8</x:v>
      </x:c>
      <x:c r="O35" t="n">
        <x:v>8</x:v>
      </x:c>
      <x:c r="P35" t="n">
        <x:v>0</x:v>
      </x:c>
      <x:c r="Q35" t="n">
        <x:v>1</x:v>
      </x:c>
      <x:c r="R35" t="n">
        <x:v>0</x:v>
      </x:c>
      <x:c r="S35" s="180" t="n">
        <x:f>H35+'Parametry V13'!$B$5*I35+Q35*Z35*AA35</x:f>
        <x:v>5.167804</x:v>
      </x:c>
      <x:c r="T35" s="180" t="n">
        <x:f>H35+O35+'Parametry V13'!$B$5*(I35+P35)+(Q35+R35)*Z35*AA35</x:f>
        <x:v>13.167804</x:v>
      </x:c>
      <x:c r="U35" s="180" t="n">
        <x:f>S35+T35</x:f>
        <x:v>18.335608</x:v>
      </x:c>
      <x:c r="V35" s="181" t="n">
        <x:f>IFERROR(U35/'Parametry V13'!$B$8-1,0)</x:f>
        <x:v>0.045652942558574106</x:v>
      </x:c>
      <x:c r="W35" t="str">
        <x:f>IF(ABS(M35)&lt;='Parametry V13'!$B$6,"W PASMIE","DO TESTU")</x:f>
        <x:v>W PASMIE</x:v>
      </x:c>
      <x:c r="X35" t="str">
        <x:f>IF(ABS(V35)&lt;='Parametry V13'!$B$7,"W PASMIE","ODCHYLENIE")</x:f>
        <x:v>W PASMIE</x:v>
      </x:c>
      <x:c r="Y35" t="str">
        <x:v>Zmieniono statystyki</x:v>
      </x:c>
      <x:c r="Z35" t="n">
        <x:v>2.55</x:v>
      </x:c>
      <x:c r="AA35" t="n">
        <x:v>0.75208</x:v>
      </x:c>
      <x:c r="AB35" t="n">
        <x:f>T35-S35</x:f>
        <x:v>8</x:v>
      </x:c>
    </x:row>
    <x:row r="36">
      <x:c r="A36" t="str">
        <x:v>S21</x:v>
      </x:c>
      <x:c r="B36" t="str">
        <x:v>Potwory</x:v>
      </x:c>
      <x:c r="C36" t="str">
        <x:v>Widmo Otchłani</x:v>
      </x:c>
      <x:c r="D36" t="str">
        <x:v>Przy śmierci</x:v>
      </x:c>
      <x:c r="E36" t="str">
        <x:v>Obrażenia</x:v>
      </x:c>
      <x:c r="F36" t="n">
        <x:v>3</x:v>
      </x:c>
      <x:c r="G36" t="n">
        <x:v>4</x:v>
      </x:c>
      <x:c r="H36" t="n">
        <x:v>1</x:v>
      </x:c>
      <x:c r="I36" t="n">
        <x:v>4</x:v>
      </x:c>
      <x:c r="J36" t="str">
        <x:v>Zadaj 4 obrażenia wrogiemu bohaterowi.</x:v>
      </x:c>
      <x:c r="K36" t="str">
        <x:v>Zadaj 4 obrażenia wrogiemu bohaterowi.</x:v>
      </x:c>
      <x:c r="L36" s="180" t="n">
        <x:v>7.77</x:v>
      </x:c>
      <x:c r="M36" s="180" t="n">
        <x:v>0.5</x:v>
      </x:c>
      <x:c r="N36" s="180" t="n">
        <x:v>1.8</x:v>
      </x:c>
      <x:c r="O36" t="n">
        <x:v>6</x:v>
      </x:c>
      <x:c r="P36" t="n">
        <x:v>0</x:v>
      </x:c>
      <x:c r="Q36" t="n">
        <x:v>4</x:v>
      </x:c>
      <x:c r="R36" t="n">
        <x:v>1</x:v>
      </x:c>
      <x:c r="S36" s="180" t="n">
        <x:f>H36+'Parametry V13'!$B$5*I36+Q36*Z36*AA36</x:f>
        <x:v>4.96</x:v>
      </x:c>
      <x:c r="T36" s="180" t="n">
        <x:f>H36+O36+'Parametry V13'!$B$5*(I36+P36)+(Q36+R36)*Z36*AA36</x:f>
        <x:v>11.5</x:v>
      </x:c>
      <x:c r="U36" s="180" t="n">
        <x:f>S36+T36</x:f>
        <x:v>16.46</x:v>
      </x:c>
      <x:c r="V36" s="181" t="n">
        <x:f>IFERROR(U36/'Parametry V13'!$B$8-1,0)</x:f>
        <x:v>-0.06131024209755531</x:v>
      </x:c>
      <x:c r="W36" t="str">
        <x:f>IF(ABS(M36)&lt;='Parametry V13'!$B$6,"W PASMIE","DO TESTU")</x:f>
        <x:v>W PASMIE</x:v>
      </x:c>
      <x:c r="X36" t="str">
        <x:f>IF(ABS(V36)&lt;='Parametry V13'!$B$7,"W PASMIE","ODCHYLENIE")</x:f>
        <x:v>W PASMIE</x:v>
      </x:c>
      <x:c r="Y36" t="str">
        <x:v>Zmieniono statystyki</x:v>
      </x:c>
      <x:c r="Z36" t="n">
        <x:v>1</x:v>
      </x:c>
      <x:c r="AA36" t="n">
        <x:v>0.54</x:v>
      </x:c>
      <x:c r="AB36" t="n">
        <x:f>T36-S36</x:f>
        <x:v>6.54</x:v>
      </x:c>
    </x:row>
    <x:row r="37">
      <x:c r="A37" t="str">
        <x:v>S17</x:v>
      </x:c>
      <x:c r="B37" t="str">
        <x:v>Potwory</x:v>
      </x:c>
      <x:c r="C37" t="str">
        <x:v>Duch Ostatniej Łaski</x:v>
      </x:c>
      <x:c r="D37" t="str">
        <x:v>Przy śmierci</x:v>
      </x:c>
      <x:c r="E37" t="str">
        <x:v>Leczenie</x:v>
      </x:c>
      <x:c r="F37" t="n">
        <x:v>1</x:v>
      </x:c>
      <x:c r="G37" t="n">
        <x:v>8</x:v>
      </x:c>
      <x:c r="H37" t="n">
        <x:v>3</x:v>
      </x:c>
      <x:c r="I37" t="n">
        <x:v>8</x:v>
      </x:c>
      <x:c r="J37" t="str">
        <x:v>Ulecz własnego bohatera o 6 HP.</x:v>
      </x:c>
      <x:c r="K37" t="str">
        <x:v>Ulecz własnego bohatera o 6 HP.</x:v>
      </x:c>
      <x:c r="L37" s="180" t="n">
        <x:v>-7.18</x:v>
      </x:c>
      <x:c r="M37" s="180" t="n">
        <x:v>-1.6</x:v>
      </x:c>
      <x:c r="N37" s="180" t="n">
        <x:v>1.81</x:v>
      </x:c>
      <x:c r="O37" t="n">
        <x:v>0</x:v>
      </x:c>
      <x:c r="P37" t="n">
        <x:v>6</x:v>
      </x:c>
      <x:c r="Q37" t="n">
        <x:v>6</x:v>
      </x:c>
      <x:c r="R37" t="n">
        <x:v>1</x:v>
      </x:c>
      <x:c r="S37" s="180" t="n">
        <x:f>H37+'Parametry V13'!$B$5*I37+Q37*Z37*AA37</x:f>
        <x:v>8.31072</x:v>
      </x:c>
      <x:c r="T37" s="180" t="n">
        <x:f>H37+O37+'Parametry V13'!$B$5*(I37+P37)+(Q37+R37)*Z37*AA37</x:f>
        <x:v>11.29584</x:v>
      </x:c>
      <x:c r="U37" s="180" t="n">
        <x:f>S37+T37</x:f>
        <x:v>19.60656</x:v>
      </x:c>
      <x:c r="V37" s="181" t="n">
        <x:f>IFERROR(U37/'Parametry V13'!$B$8-1,0)</x:f>
        <x:v>0.11813347871808966</x:v>
      </x:c>
      <x:c r="W37" t="str">
        <x:f>IF(ABS(M37)&lt;='Parametry V13'!$B$6,"W PASMIE","DO TESTU")</x:f>
        <x:v>W PASMIE</x:v>
      </x:c>
      <x:c r="X37" t="str">
        <x:f>IF(ABS(V37)&lt;='Parametry V13'!$B$7,"W PASMIE","ODCHYLENIE")</x:f>
        <x:v>W PASMIE</x:v>
      </x:c>
      <x:c r="Y37" t="str">
        <x:v>Zmieniono statystyki</x:v>
      </x:c>
      <x:c r="Z37" t="n">
        <x:v>0.66</x:v>
      </x:c>
      <x:c r="AA37" t="n">
        <x:v>0.432</x:v>
      </x:c>
      <x:c r="AB37" t="n">
        <x:f>T37-S37</x:f>
        <x:v>2.98512</x:v>
      </x:c>
    </x:row>
    <x:row r="38">
      <x:c r="A38" t="str">
        <x:v>S23</x:v>
      </x:c>
      <x:c r="B38" t="str">
        <x:v>Potwory</x:v>
      </x:c>
      <x:c r="C38" t="str">
        <x:v>Klątwonosiciel</x:v>
      </x:c>
      <x:c r="D38" t="str">
        <x:v>Przy śmierci</x:v>
      </x:c>
      <x:c r="E38" t="str">
        <x:v>ATK ±</x:v>
      </x:c>
      <x:c r="F38" t="n">
        <x:v>2</x:v>
      </x:c>
      <x:c r="G38" t="n">
        <x:v>6</x:v>
      </x:c>
      <x:c r="H38" t="n">
        <x:v>1</x:v>
      </x:c>
      <x:c r="I38" t="n">
        <x:v>3</x:v>
      </x:c>
      <x:c r="J38" t="str">
        <x:v>Wybierz: przyznaj pozostałej własnej jednostce +4 ATK albo nałóż −4 ATK na wrogą jednostkę; efekt trwa do opuszczenia planszy przez cel.</x:v>
      </x:c>
      <x:c r="K38" t="str">
        <x:v>Wybierz: przyznaj pozostałej własnej jednostce +2 ATK albo nałóż −2 ATK na wrogą jednostkę; efekt trwa do opuszczenia planszy przez cel.</x:v>
      </x:c>
      <x:c r="L38" s="180" t="n">
        <x:v>17.14</x:v>
      </x:c>
      <x:c r="M38" s="180" t="n">
        <x:v>0.52</x:v>
      </x:c>
      <x:c r="N38" s="180" t="n">
        <x:v>1.81</x:v>
      </x:c>
      <x:c r="O38" t="n">
        <x:v>6</x:v>
      </x:c>
      <x:c r="P38" t="n">
        <x:v>0</x:v>
      </x:c>
      <x:c r="Q38" t="n">
        <x:v>2</x:v>
      </x:c>
      <x:c r="R38" t="n">
        <x:v>1</x:v>
      </x:c>
      <x:c r="S38" s="180" t="n">
        <x:f>H38+'Parametry V13'!$B$5*I38+Q38*Z38*AA38</x:f>
        <x:v>3.358</x:v>
      </x:c>
      <x:c r="T38" s="180" t="n">
        <x:f>H38+O38+'Parametry V13'!$B$5*(I38+P38)+(Q38+R38)*Z38*AA38</x:f>
        <x:v>9.862</x:v>
      </x:c>
      <x:c r="U38" s="180" t="n">
        <x:f>S38+T38</x:f>
        <x:v>13.22</x:v>
      </x:c>
      <x:c r="V38" s="181" t="n">
        <x:f>IFERROR(U38/'Parametry V13'!$B$8-1,0)</x:f>
        <x:v>-0.24608270963120782</x:v>
      </x:c>
      <x:c r="W38" t="str">
        <x:f>IF(ABS(M38)&lt;='Parametry V13'!$B$6,"W PASMIE","DO TESTU")</x:f>
        <x:v>W PASMIE</x:v>
      </x:c>
      <x:c r="X38" t="str">
        <x:f>IF(ABS(V38)&lt;='Parametry V13'!$B$7,"W PASMIE","ODCHYLENIE")</x:f>
        <x:v>ODCHYLENIE</x:v>
      </x:c>
      <x:c r="Y38" t="str">
        <x:v>Stałe ±2 zamiast ±4; nadal mocniejsze niż u Elfów.</x:v>
      </x:c>
      <x:c r="Z38" t="n">
        <x:v>1.05</x:v>
      </x:c>
      <x:c r="AA38" t="n">
        <x:v>0.48</x:v>
      </x:c>
      <x:c r="AB38" t="n">
        <x:f>T38-S38</x:f>
        <x:v>6.504</x:v>
      </x:c>
    </x:row>
    <x:row r="39">
      <x:c r="A39" t="str">
        <x:v>S81</x:v>
      </x:c>
      <x:c r="B39" t="str">
        <x:v>Potwory</x:v>
      </x:c>
      <x:c r="C39" t="str">
        <x:v>Krwawy Homunkulus</x:v>
      </x:c>
      <x:c r="D39" t="str">
        <x:v>Przy śmierci</x:v>
      </x:c>
      <x:c r="E39" t="str">
        <x:v>MAX HP ±</x:v>
      </x:c>
      <x:c r="F39" t="n">
        <x:v>1</x:v>
      </x:c>
      <x:c r="G39" t="n">
        <x:v>7</x:v>
      </x:c>
      <x:c r="H39" t="n">
        <x:v>4</x:v>
      </x:c>
      <x:c r="I39" t="n">
        <x:v>7</x:v>
      </x:c>
      <x:c r="J39" t="str">
        <x:v>Wybierz: przyznaj pozostałej własnej jednostce +5 MAX HP i +5 aktualnego HP albo zmniejsz MAX HP wrogiej jednostki o 5. Efekt trwa do opuszczenia planszy przez cel.</x:v>
      </x:c>
      <x:c r="K39" t="str">
        <x:v>Wybierz: przyznaj pozostałej własnej jednostce +5 MAX HP i +5 aktualnego HP albo zmniejsz MAX HP wrogiej jednostki o 5. Efekt trwa do opuszczenia planszy przez cel.</x:v>
      </x:c>
      <x:c r="L39" s="180" t="n">
        <x:v>-9.79</x:v>
      </x:c>
      <x:c r="M39" s="180" t="n">
        <x:v>0.09</x:v>
      </x:c>
      <x:c r="N39" s="180" t="n">
        <x:v>1.8</x:v>
      </x:c>
      <x:c r="O39" t="n">
        <x:v>0</x:v>
      </x:c>
      <x:c r="P39" t="n">
        <x:v>6</x:v>
      </x:c>
      <x:c r="Q39" t="n">
        <x:v>5</x:v>
      </x:c>
      <x:c r="R39" t="n">
        <x:v>1</x:v>
      </x:c>
      <x:c r="S39" s="180" t="n">
        <x:f>H39+'Parametry V13'!$B$5*I39+Q39*Z39*AA39</x:f>
        <x:v>8.398</x:v>
      </x:c>
      <x:c r="T39" s="180" t="n">
        <x:f>H39+O39+'Parametry V13'!$B$5*(I39+P39)+(Q39+R39)*Z39*AA39</x:f>
        <x:v>11.347600000000002</x:v>
      </x:c>
      <x:c r="U39" s="180" t="n">
        <x:f>S39+T39</x:f>
        <x:v>19.745600000000003</x:v>
      </x:c>
      <x:c r="V39" s="181" t="n">
        <x:f>IFERROR(U39/'Parametry V13'!$B$8-1,0)</x:f>
        <x:v>0.1260627268310155</x:v>
      </x:c>
      <x:c r="W39" t="str">
        <x:f>IF(ABS(M39)&lt;='Parametry V13'!$B$6,"W PASMIE","DO TESTU")</x:f>
        <x:v>W PASMIE</x:v>
      </x:c>
      <x:c r="X39" t="str">
        <x:f>IF(ABS(V39)&lt;='Parametry V13'!$B$7,"W PASMIE","ODCHYLENIE")</x:f>
        <x:v>ODCHYLENIE</x:v>
      </x:c>
      <x:c r="Y39" t="str">
        <x:v>Zmieniono statystyki</x:v>
      </x:c>
      <x:c r="Z39" t="n">
        <x:v>0.52</x:v>
      </x:c>
      <x:c r="AA39" t="n">
        <x:v>0.48</x:v>
      </x:c>
      <x:c r="AB39" t="n">
        <x:f>T39-S39</x:f>
        <x:v>2.949600000000002</x:v>
      </x:c>
    </x:row>
    <x:row r="40">
      <x:c r="A40" t="str">
        <x:v>S82</x:v>
      </x:c>
      <x:c r="B40" t="str">
        <x:v>Potwory</x:v>
      </x:c>
      <x:c r="C40" t="str">
        <x:v>Golem Grobowy</x:v>
      </x:c>
      <x:c r="D40" t="str">
        <x:v>Przy śmierci</x:v>
      </x:c>
      <x:c r="E40" t="str">
        <x:v>Pancerz</x:v>
      </x:c>
      <x:c r="F40" t="n">
        <x:v>2</x:v>
      </x:c>
      <x:c r="G40" t="n">
        <x:v>7</x:v>
      </x:c>
      <x:c r="H40" t="n">
        <x:v>3</x:v>
      </x:c>
      <x:c r="I40" t="n">
        <x:v>7</x:v>
      </x:c>
      <x:c r="J40" t="str">
        <x:v>Przyznaj 6 trwałego pancerza wybranej pozostałej sojuszniczej jednostce.</x:v>
      </x:c>
      <x:c r="K40" t="str">
        <x:v>Przyznaj 6 trwałego pancerza wybranej pozostałej sojuszniczej jednostce.</x:v>
      </x:c>
      <x:c r="L40" s="180" t="n">
        <x:v>-3.44</x:v>
      </x:c>
      <x:c r="M40" s="180" t="n">
        <x:v>-2.83</x:v>
      </x:c>
      <x:c r="N40" s="180" t="n">
        <x:v>1.8</x:v>
      </x:c>
      <x:c r="O40" t="n">
        <x:v>0</x:v>
      </x:c>
      <x:c r="P40" t="n">
        <x:v>6</x:v>
      </x:c>
      <x:c r="Q40" t="n">
        <x:v>6</x:v>
      </x:c>
      <x:c r="R40" t="n">
        <x:v>1</x:v>
      </x:c>
      <x:c r="S40" s="180" t="n">
        <x:f>H40+'Parametry V13'!$B$5*I40+Q40*Z40*AA40</x:f>
        <x:v>7.6548</x:v>
      </x:c>
      <x:c r="T40" s="180" t="n">
        <x:f>H40+O40+'Parametry V13'!$B$5*(I40+P40)+(Q40+R40)*Z40*AA40</x:f>
        <x:v>10.6056</x:v>
      </x:c>
      <x:c r="U40" s="180" t="n">
        <x:f>S40+T40</x:f>
        <x:v>18.2604</x:v>
      </x:c>
      <x:c r="V40" s="181" t="n">
        <x:f>IFERROR(U40/'Parametry V13'!$B$8-1,0)</x:f>
        <x:v>0.04136394017021883</x:v>
      </x:c>
      <x:c r="W40" t="str">
        <x:f>IF(ABS(M40)&lt;='Parametry V13'!$B$6,"W PASMIE","DO TESTU")</x:f>
        <x:v>W PASMIE</x:v>
      </x:c>
      <x:c r="X40" t="str">
        <x:f>IF(ABS(V40)&lt;='Parametry V13'!$B$7,"W PASMIE","ODCHYLENIE")</x:f>
        <x:v>W PASMIE</x:v>
      </x:c>
      <x:c r="Y40" t="str">
        <x:v>Zmieniono statystyki</x:v>
      </x:c>
      <x:c r="Z40" t="n">
        <x:v>0.55</x:v>
      </x:c>
      <x:c r="AA40" t="n">
        <x:v>0.45599999999999996</x:v>
      </x:c>
      <x:c r="AB40" t="n">
        <x:f>T40-S40</x:f>
        <x:v>2.950800000000001</x:v>
      </x:c>
    </x:row>
    <x:row r="41">
      <x:c r="A41" t="str">
        <x:v>S20</x:v>
      </x:c>
      <x:c r="B41" t="str">
        <x:v>Potwory</x:v>
      </x:c>
      <x:c r="C41" t="str">
        <x:v>Strażnik Mauzoleum</x:v>
      </x:c>
      <x:c r="D41" t="str">
        <x:v>Przy śmierci</x:v>
      </x:c>
      <x:c r="E41" t="str">
        <x:v>Tarcza</x:v>
      </x:c>
      <x:c r="F41" t="n">
        <x:v>1</x:v>
      </x:c>
      <x:c r="G41" t="n">
        <x:v>7</x:v>
      </x:c>
      <x:c r="H41" t="n">
        <x:v>4</x:v>
      </x:c>
      <x:c r="I41" t="n">
        <x:v>7</x:v>
      </x:c>
      <x:c r="J41" t="str">
        <x:v>Przyznaj tarczę wybranej pozostałej sojuszniczej jednostce i 2 trwałego pancerza temu samemu celowi.</x:v>
      </x:c>
      <x:c r="K41" t="str">
        <x:v>Przyznaj tarczę wybranej pozostałej sojuszniczej jednostce i 2 trwałego pancerza temu samemu celowi.</x:v>
      </x:c>
      <x:c r="L41" s="180" t="n">
        <x:v>-10.78</x:v>
      </x:c>
      <x:c r="M41" s="180" t="n">
        <x:v>2.09</x:v>
      </x:c>
      <x:c r="N41" s="180" t="n">
        <x:v>1.8</x:v>
      </x:c>
      <x:c r="O41" t="n">
        <x:v>0</x:v>
      </x:c>
      <x:c r="P41" t="n">
        <x:v>9</x:v>
      </x:c>
      <x:c r="Q41" t="n">
        <x:v>1</x:v>
      </x:c>
      <x:c r="R41" t="n">
        <x:v>0</x:v>
      </x:c>
      <x:c r="S41" s="180" t="n">
        <x:f>H41+'Parametry V13'!$B$5*I41+Q41*Z41*AA41</x:f>
        <x:v>8.0344</x:v>
      </x:c>
      <x:c r="T41" s="180" t="n">
        <x:f>H41+O41+'Parametry V13'!$B$5*(I41+P41)+(Q41+R41)*Z41*AA41</x:f>
        <x:v>12.084399999999999</x:v>
      </x:c>
      <x:c r="U41" s="180" t="n">
        <x:f>S41+T41</x:f>
        <x:v>20.1188</x:v>
      </x:c>
      <x:c r="V41" s="181" t="n">
        <x:f>IFERROR(U41/'Parametry V13'!$B$8-1,0)</x:f>
        <x:v>0.14734577772100277</x:v>
      </x:c>
      <x:c r="W41" t="str">
        <x:f>IF(ABS(M41)&lt;='Parametry V13'!$B$6,"W PASMIE","DO TESTU")</x:f>
        <x:v>W PASMIE</x:v>
      </x:c>
      <x:c r="X41" t="str">
        <x:f>IF(ABS(V41)&lt;='Parametry V13'!$B$7,"W PASMIE","ODCHYLENIE")</x:f>
        <x:v>ODCHYLENIE</x:v>
      </x:c>
      <x:c r="Y41" t="str">
        <x:v>Zmieniono statystyki</x:v>
      </x:c>
      <x:c r="Z41" t="n">
        <x:v>2.2</x:v>
      </x:c>
      <x:c r="AA41" t="n">
        <x:v>0.402</x:v>
      </x:c>
      <x:c r="AB41" t="n">
        <x:f>T41-S41</x:f>
        <x:v>4.049999999999999</x:v>
      </x:c>
    </x:row>
    <x:row r="42">
      <x:c r="A42" t="str">
        <x:v>S83</x:v>
      </x:c>
      <x:c r="B42" t="str">
        <x:v>Potwory</x:v>
      </x:c>
      <x:c r="C42" t="str">
        <x:v>Nosiciel Plagi</x:v>
      </x:c>
      <x:c r="D42" t="str">
        <x:v>Przy śmierci</x:v>
      </x:c>
      <x:c r="E42" t="str">
        <x:v>Trucizna</x:v>
      </x:c>
      <x:c r="F42" t="n">
        <x:v>1</x:v>
      </x:c>
      <x:c r="G42" t="n">
        <x:v>5</x:v>
      </x:c>
      <x:c r="H42" t="n">
        <x:v>1</x:v>
      </x:c>
      <x:c r="I42" t="n">
        <x:v>5</x:v>
      </x:c>
      <x:c r="J42" t="str">
        <x:v>Nałóż na wybraną wrogą jednostkę truciznę: 2 obrażenia przez 3 jej własne tury.</x:v>
      </x:c>
      <x:c r="K42" t="str">
        <x:v>Nałóż na wybraną wrogą jednostkę truciznę: 2 obrażenia przez 3 jej własne tury.</x:v>
      </x:c>
      <x:c r="L42" s="180" t="n">
        <x:v>5.16</x:v>
      </x:c>
      <x:c r="M42" s="180" t="n">
        <x:v>1.83</x:v>
      </x:c>
      <x:c r="N42" s="180" t="n">
        <x:v>1.8</x:v>
      </x:c>
      <x:c r="O42" t="n">
        <x:v>6</x:v>
      </x:c>
      <x:c r="P42" t="n">
        <x:v>0</x:v>
      </x:c>
      <x:c r="Q42" t="n">
        <x:v>6</x:v>
      </x:c>
      <x:c r="R42" t="n">
        <x:v>1</x:v>
      </x:c>
      <x:c r="S42" s="180" t="n">
        <x:f>H42+'Parametry V13'!$B$5*I42+Q42*Z42*AA42</x:f>
        <x:v>5.2717600000000004</x:v>
      </x:c>
      <x:c r="T42" s="180" t="n">
        <x:f>H42+O42+'Parametry V13'!$B$5*(I42+P42)+(Q42+R42)*Z42*AA42</x:f>
        <x:v>11.60872</x:v>
      </x:c>
      <x:c r="U42" s="180" t="n">
        <x:f>S42+T42</x:f>
        <x:v>16.88048</x:v>
      </x:c>
      <x:c r="V42" s="181" t="n">
        <x:f>IFERROR(U42/'Parametry V13'!$B$8-1,0)</x:f>
        <x:v>-0.03733088186652145</x:v>
      </x:c>
      <x:c r="W42" t="str">
        <x:f>IF(ABS(M42)&lt;='Parametry V13'!$B$6,"W PASMIE","DO TESTU")</x:f>
        <x:v>W PASMIE</x:v>
      </x:c>
      <x:c r="X42" t="str">
        <x:f>IF(ABS(V42)&lt;='Parametry V13'!$B$7,"W PASMIE","ODCHYLENIE")</x:f>
        <x:v>W PASMIE</x:v>
      </x:c>
      <x:c r="Y42" t="str">
        <x:v>Bez korekty statystyk</x:v>
      </x:c>
      <x:c r="Z42" t="n">
        <x:v>0.78</x:v>
      </x:c>
      <x:c r="AA42" t="n">
        <x:v>0.432</x:v>
      </x:c>
      <x:c r="AB42" t="n">
        <x:f>T42-S42</x:f>
        <x:v>6.3369599999999995</x:v>
      </x:c>
    </x:row>
    <x:row r="43">
      <x:c r="A43" t="str">
        <x:v>S84</x:v>
      </x:c>
      <x:c r="B43" t="str">
        <x:v>Potwory</x:v>
      </x:c>
      <x:c r="C43" t="str">
        <x:v>Banshee Krzyku</x:v>
      </x:c>
      <x:c r="D43" t="str">
        <x:v>Przy śmierci</x:v>
      </x:c>
      <x:c r="E43" t="str">
        <x:v>Ogłuszenie</x:v>
      </x:c>
      <x:c r="F43" t="n">
        <x:v>1</x:v>
      </x:c>
      <x:c r="G43" t="n">
        <x:v>6</x:v>
      </x:c>
      <x:c r="H43" t="n">
        <x:v>1</x:v>
      </x:c>
      <x:c r="I43" t="n">
        <x:v>4</x:v>
      </x:c>
      <x:c r="J43" t="str">
        <x:v>Ogłusz wybraną wrogą jednostkę na 1 jej własną turę i zadaj jej 2 obrażenia.</x:v>
      </x:c>
      <x:c r="K43" t="str">
        <x:v>Ogłusz wybraną wrogą jednostkę na 1 jej własną turę i zadaj jej 2 obrażenia.</x:v>
      </x:c>
      <x:c r="L43" s="180" t="n">
        <x:v>6.07</x:v>
      </x:c>
      <x:c r="M43" s="180" t="n">
        <x:v>1.76</x:v>
      </x:c>
      <x:c r="N43" s="180" t="n">
        <x:v>1.8</x:v>
      </x:c>
      <x:c r="O43" t="n">
        <x:v>3</x:v>
      </x:c>
      <x:c r="P43" t="n">
        <x:v>3</x:v>
      </x:c>
      <x:c r="Q43" t="n">
        <x:v>1</x:v>
      </x:c>
      <x:c r="R43" t="n">
        <x:v>1</x:v>
      </x:c>
      <x:c r="S43" s="180" t="n">
        <x:f>H43+'Parametry V13'!$B$5*I43+Q43*Z43*AA43</x:f>
        <x:v>3.8434</x:v>
      </x:c>
      <x:c r="T43" s="180" t="n">
        <x:f>H43+O43+'Parametry V13'!$B$5*(I43+P43)+(Q43+R43)*Z43*AA43</x:f>
        <x:v>9.2368</x:v>
      </x:c>
      <x:c r="U43" s="180" t="n">
        <x:f>S43+T43</x:f>
        <x:v>13.080200000000001</x:v>
      </x:c>
      <x:c r="V43" s="181" t="n">
        <x:f>IFERROR(U43/'Parametry V13'!$B$8-1,0)</x:f>
        <x:v>-0.2540552994340487</x:v>
      </x:c>
      <x:c r="W43" t="str">
        <x:f>IF(ABS(M43)&lt;='Parametry V13'!$B$6,"W PASMIE","DO TESTU")</x:f>
        <x:v>W PASMIE</x:v>
      </x:c>
      <x:c r="X43" t="str">
        <x:f>IF(ABS(V43)&lt;='Parametry V13'!$B$7,"W PASMIE","ODCHYLENIE")</x:f>
        <x:v>ODCHYLENIE</x:v>
      </x:c>
      <x:c r="Y43" t="str">
        <x:v>Zmieniono statystyki</x:v>
      </x:c>
      <x:c r="Z43" t="n">
        <x:v>2.35</x:v>
      </x:c>
      <x:c r="AA43" t="n">
        <x:v>0.444</x:v>
      </x:c>
      <x:c r="AB43" t="n">
        <x:f>T43-S43</x:f>
        <x:v>5.393400000000001</x:v>
      </x:c>
    </x:row>
    <x:row r="44">
      <x:c r="A44" t="str">
        <x:v>S85</x:v>
      </x:c>
      <x:c r="B44" t="str">
        <x:v>Potwory</x:v>
      </x:c>
      <x:c r="C44" t="str">
        <x:v>Życiodajne Widmo</x:v>
      </x:c>
      <x:c r="D44" t="str">
        <x:v>Przy śmierci</x:v>
      </x:c>
      <x:c r="E44" t="str">
        <x:v>Regeneracja</x:v>
      </x:c>
      <x:c r="F44" t="n">
        <x:v>1</x:v>
      </x:c>
      <x:c r="G44" t="n">
        <x:v>6</x:v>
      </x:c>
      <x:c r="H44" t="n">
        <x:v>3</x:v>
      </x:c>
      <x:c r="I44" t="n">
        <x:v>6</x:v>
      </x:c>
      <x:c r="J44" t="str">
        <x:v>Nałóż na wybraną pozostałą sojuszniczą jednostkę regenerację 3 HP przez 3 jej własne tury.</x:v>
      </x:c>
      <x:c r="K44" t="str">
        <x:v>Nałóż na wybraną pozostałą sojuszniczą jednostkę regenerację 3 HP przez 3 jej własne tury.</x:v>
      </x:c>
      <x:c r="L44" s="180" t="n">
        <x:v>-10.34</x:v>
      </x:c>
      <x:c r="M44" s="180" t="n">
        <x:v>-3.31</x:v>
      </x:c>
      <x:c r="N44" s="180" t="n">
        <x:v>1.8</x:v>
      </x:c>
      <x:c r="O44" t="n">
        <x:v>0</x:v>
      </x:c>
      <x:c r="P44" t="n">
        <x:v>6</x:v>
      </x:c>
      <x:c r="Q44" t="n">
        <x:v>9</x:v>
      </x:c>
      <x:c r="R44" t="n">
        <x:v>1</x:v>
      </x:c>
      <x:c r="S44" s="180" t="n">
        <x:f>H44+'Parametry V13'!$B$5*I44+Q44*Z44*AA44</x:f>
        <x:v>7.16124</x:v>
      </x:c>
      <x:c r="T44" s="180" t="n">
        <x:f>H44+O44+'Parametry V13'!$B$5*(I44+P44)+(Q44+R44)*Z44*AA44</x:f>
        <x:v>10.0236</x:v>
      </x:c>
      <x:c r="U44" s="180" t="n">
        <x:f>S44+T44</x:f>
        <x:v>17.18484</x:v>
      </x:c>
      <x:c r="V44" s="181" t="n">
        <x:f>IFERROR(U44/'Parametry V13'!$B$8-1,0)</x:f>
        <x:v>-0.019973675626230314</x:v>
      </x:c>
      <x:c r="W44" t="str">
        <x:f>IF(ABS(M44)&lt;='Parametry V13'!$B$6,"W PASMIE","DO TESTU")</x:f>
        <x:v>W PASMIE</x:v>
      </x:c>
      <x:c r="X44" t="str">
        <x:f>IF(ABS(V44)&lt;='Parametry V13'!$B$7,"W PASMIE","ODCHYLENIE")</x:f>
        <x:v>W PASMIE</x:v>
      </x:c>
      <x:c r="Y44" t="str">
        <x:v>Zmieniono statystyki</x:v>
      </x:c>
      <x:c r="Z44" t="n">
        <x:v>0.41</x:v>
      </x:c>
      <x:c r="AA44" t="n">
        <x:v>0.396</x:v>
      </x:c>
      <x:c r="AB44" t="n">
        <x:f>T44-S44</x:f>
        <x:v>2.86236</x:v>
      </x:c>
    </x:row>
    <x:row r="45">
      <x:c r="A45" t="str">
        <x:v>S86</x:v>
      </x:c>
      <x:c r="B45" t="str">
        <x:v>Potwory</x:v>
      </x:c>
      <x:c r="C45" t="str">
        <x:v>Trupi Wartownik</x:v>
      </x:c>
      <x:c r="D45" t="str">
        <x:v>Przy śmierci</x:v>
      </x:c>
      <x:c r="E45" t="str">
        <x:v>Prowokacja</x:v>
      </x:c>
      <x:c r="F45" t="n">
        <x:v>1</x:v>
      </x:c>
      <x:c r="G45" t="n">
        <x:v>8</x:v>
      </x:c>
      <x:c r="H45" t="n">
        <x:v>3</x:v>
      </x:c>
      <x:c r="I45" t="n">
        <x:v>9</x:v>
      </x:c>
      <x:c r="J45" t="str">
        <x:v>Pozostała wybrana sojusznicza jednostka otrzymuje prowokację do swojego opuszczenia planszy.</x:v>
      </x:c>
      <x:c r="K45" t="str">
        <x:v>Pozostała wybrana sojusznicza jednostka otrzymuje prowokację do swojego opuszczenia planszy.</x:v>
      </x:c>
      <x:c r="L45" s="180" t="n">
        <x:v>-10.04</x:v>
      </x:c>
      <x:c r="M45" s="180" t="n">
        <x:v>-1.99</x:v>
      </x:c>
      <x:c r="N45" s="180" t="n">
        <x:v>1.8</x:v>
      </x:c>
      <x:c r="O45" t="n">
        <x:v>0</x:v>
      </x:c>
      <x:c r="P45" t="n">
        <x:v>9</x:v>
      </x:c>
      <x:c r="Q45" t="n">
        <x:v>1</x:v>
      </x:c>
      <x:c r="R45" t="n">
        <x:v>0</x:v>
      </x:c>
      <x:c r="S45" s="180" t="n">
        <x:f>H45+'Parametry V13'!$B$5*I45+Q45*Z45*AA45</x:f>
        <x:v>7.6212</x:v>
      </x:c>
      <x:c r="T45" s="180" t="n">
        <x:f>H45+O45+'Parametry V13'!$B$5*(I45+P45)+(Q45+R45)*Z45*AA45</x:f>
        <x:v>11.671199999999999</x:v>
      </x:c>
      <x:c r="U45" s="180" t="n">
        <x:f>S45+T45</x:f>
        <x:v>19.2924</x:v>
      </x:c>
      <x:c r="V45" s="181" t="n">
        <x:f>IFERROR(U45/'Parametry V13'!$B$8-1,0)</x:f>
        <x:v>0.10021739279204889</x:v>
      </x:c>
      <x:c r="W45" t="str">
        <x:f>IF(ABS(M45)&lt;='Parametry V13'!$B$6,"W PASMIE","DO TESTU")</x:f>
        <x:v>W PASMIE</x:v>
      </x:c>
      <x:c r="X45" t="str">
        <x:f>IF(ABS(V45)&lt;='Parametry V13'!$B$7,"W PASMIE","ODCHYLENIE")</x:f>
        <x:v>W PASMIE</x:v>
      </x:c>
      <x:c r="Y45" t="str">
        <x:v>Zmieniono statystyki</x:v>
      </x:c>
      <x:c r="Z45" t="n">
        <x:v>1.4</x:v>
      </x:c>
      <x:c r="AA45" t="n">
        <x:v>0.40800000000000003</x:v>
      </x:c>
      <x:c r="AB45" t="n">
        <x:f>T45-S45</x:f>
        <x:v>4.049999999999999</x:v>
      </x:c>
    </x:row>
    <x:row r="46">
      <x:c r="A46" t="str">
        <x:v>S87</x:v>
      </x:c>
      <x:c r="B46" t="str">
        <x:v>Potwory</x:v>
      </x:c>
      <x:c r="C46" t="str">
        <x:v>Widmo Rozproszenia</x:v>
      </x:c>
      <x:c r="D46" t="str">
        <x:v>Przy śmierci</x:v>
      </x:c>
      <x:c r="E46" t="str">
        <x:v>Oczyszczanie</x:v>
      </x:c>
      <x:c r="F46" t="n">
        <x:v>1</x:v>
      </x:c>
      <x:c r="G46" t="n">
        <x:v>6</x:v>
      </x:c>
      <x:c r="H46" t="n">
        <x:v>1</x:v>
      </x:c>
      <x:c r="I46" t="n">
        <x:v>6</x:v>
      </x:c>
      <x:c r="J46" t="str">
        <x:v>Usuń z wybranej pozostałej własnej jednostki wszystkie tymczasowe negatywne efekty oraz przyznaj jej 2 trwałego pancerza.</x:v>
      </x:c>
      <x:c r="K46" t="str">
        <x:v>Usuń z wybranej pozostałej własnej jednostki wszystkie tymczasowe negatywne efekty oraz przyznaj jej 2 trwałego pancerza.</x:v>
      </x:c>
      <x:c r="L46" s="180" t="n">
        <x:v>1.42</x:v>
      </x:c>
      <x:c r="M46" s="180" t="n">
        <x:v>-0.54</x:v>
      </x:c>
      <x:c r="N46" s="180" t="n">
        <x:v>1.8</x:v>
      </x:c>
      <x:c r="O46" t="n">
        <x:v>3</x:v>
      </x:c>
      <x:c r="P46" t="n">
        <x:v>3</x:v>
      </x:c>
      <x:c r="Q46" t="n">
        <x:v>1</x:v>
      </x:c>
      <x:c r="R46" t="n">
        <x:v>1</x:v>
      </x:c>
      <x:c r="S46" s="180" t="n">
        <x:f>H46+'Parametry V13'!$B$5*I46+Q46*Z46*AA46</x:f>
        <x:v>4.1185</x:v>
      </x:c>
      <x:c r="T46" s="180" t="n">
        <x:f>H46+O46+'Parametry V13'!$B$5*(I46+P46)+(Q46+R46)*Z46*AA46</x:f>
        <x:v>8.887</x:v>
      </x:c>
      <x:c r="U46" s="180" t="n">
        <x:f>S46+T46</x:f>
        <x:v>13.005500000000001</x:v>
      </x:c>
      <x:c r="V46" s="181" t="n">
        <x:f>IFERROR(U46/'Parametry V13'!$B$8-1,0)</x:f>
        <x:v>-0.258315331324408</x:v>
      </x:c>
      <x:c r="W46" t="str">
        <x:f>IF(ABS(M46)&lt;='Parametry V13'!$B$6,"W PASMIE","DO TESTU")</x:f>
        <x:v>W PASMIE</x:v>
      </x:c>
      <x:c r="X46" t="str">
        <x:f>IF(ABS(V46)&lt;='Parametry V13'!$B$7,"W PASMIE","ODCHYLENIE")</x:f>
        <x:v>ODCHYLENIE</x:v>
      </x:c>
      <x:c r="Y46" t="str">
        <x:v>Bez korekty statystyk</x:v>
      </x:c>
      <x:c r="Z46" t="n">
        <x:v>1.55</x:v>
      </x:c>
      <x:c r="AA46" t="n">
        <x:v>0.27</x:v>
      </x:c>
      <x:c r="AB46" t="n">
        <x:f>T46-S46</x:f>
        <x:v>4.7685</x:v>
      </x:c>
    </x:row>
    <x:row r="47">
      <x:c r="A47" t="str">
        <x:v>S88</x:v>
      </x:c>
      <x:c r="B47" t="str">
        <x:v>Potwory</x:v>
      </x:c>
      <x:c r="C47" t="str">
        <x:v>Grobowy Antymag</x:v>
      </x:c>
      <x:c r="D47" t="str">
        <x:v>Przy śmierci</x:v>
      </x:c>
      <x:c r="E47" t="str">
        <x:v>Odporność</x:v>
      </x:c>
      <x:c r="F47" t="n">
        <x:v>2</x:v>
      </x:c>
      <x:c r="G47" t="n">
        <x:v>6</x:v>
      </x:c>
      <x:c r="H47" t="n">
        <x:v>4</x:v>
      </x:c>
      <x:c r="I47" t="n">
        <x:v>7</x:v>
      </x:c>
      <x:c r="J47" t="str">
        <x:v>Nadaj wybranej pozostałej własnej jednostce odporność na truciznę i ogłuszenie do jej opuszczenia planszy.</x:v>
      </x:c>
      <x:c r="K47" t="str">
        <x:v>Nadaj wybranej pozostałej własnej jednostce odporność na truciznę i ogłuszenie do jej opuszczenia planszy.</x:v>
      </x:c>
      <x:c r="L47" s="180" t="n">
        <x:v>-8.05</x:v>
      </x:c>
      <x:c r="M47" s="180" t="n">
        <x:v>-1.7</x:v>
      </x:c>
      <x:c r="N47" s="180" t="n">
        <x:v>1.8</x:v>
      </x:c>
      <x:c r="O47" t="n">
        <x:v>0</x:v>
      </x:c>
      <x:c r="P47" t="n">
        <x:v>6</x:v>
      </x:c>
      <x:c r="Q47" t="n">
        <x:v>1</x:v>
      </x:c>
      <x:c r="R47" t="n">
        <x:v>1</x:v>
      </x:c>
      <x:c r="S47" s="180" t="n">
        <x:f>H47+'Parametry V13'!$B$5*I47+Q47*Z47*AA47</x:f>
        <x:v>7.546</x:v>
      </x:c>
      <x:c r="T47" s="180" t="n">
        <x:f>H47+O47+'Parametry V13'!$B$5*(I47+P47)+(Q47+R47)*Z47*AA47</x:f>
        <x:v>10.642000000000001</x:v>
      </x:c>
      <x:c r="U47" s="180" t="n">
        <x:f>S47+T47</x:f>
        <x:v>18.188000000000002</x:v>
      </x:c>
      <x:c r="V47" s="181" t="n">
        <x:f>IFERROR(U47/'Parametry V13'!$B$8-1,0)</x:f>
        <x:v>0.037235073920392825</x:v>
      </x:c>
      <x:c r="W47" t="str">
        <x:f>IF(ABS(M47)&lt;='Parametry V13'!$B$6,"W PASMIE","DO TESTU")</x:f>
        <x:v>W PASMIE</x:v>
      </x:c>
      <x:c r="X47" t="str">
        <x:f>IF(ABS(V47)&lt;='Parametry V13'!$B$7,"W PASMIE","ODCHYLENIE")</x:f>
        <x:v>W PASMIE</x:v>
      </x:c>
      <x:c r="Y47" t="str">
        <x:v>Zmieniono statystyki</x:v>
      </x:c>
      <x:c r="Z47" t="n">
        <x:v>1.2</x:v>
      </x:c>
      <x:c r="AA47" t="n">
        <x:v>0.33</x:v>
      </x:c>
      <x:c r="AB47" t="n">
        <x:f>T47-S47</x:f>
        <x:v>3.096000000000001</x:v>
      </x:c>
    </x:row>
    <x:row r="48">
      <x:c r="A48" t="str">
        <x:v>S90</x:v>
      </x:c>
      <x:c r="B48" t="str">
        <x:v>Potwory</x:v>
      </x:c>
      <x:c r="C48" t="str">
        <x:v>Koszmar Błyskawic</x:v>
      </x:c>
      <x:c r="D48" t="str">
        <x:v>Przy śmierci</x:v>
      </x:c>
      <x:c r="E48" t="str">
        <x:v>Szybki atak</x:v>
      </x:c>
      <x:c r="F48" t="n">
        <x:v>3</x:v>
      </x:c>
      <x:c r="G48" t="n">
        <x:v>4</x:v>
      </x:c>
      <x:c r="H48" t="n">
        <x:v>2</x:v>
      </x:c>
      <x:c r="I48" t="n">
        <x:v>4</x:v>
      </x:c>
      <x:c r="J48" t="str">
        <x:v>Twoja najbliższa wystawiona jednostka może zaatakować w turze jej wystawienia.</x:v>
      </x:c>
      <x:c r="K48" t="str">
        <x:v>Twoja najbliższa wystawiona jednostka może zaatakować w turze jej wystawienia.</x:v>
      </x:c>
      <x:c r="L48" s="180" t="n">
        <x:v>5.41</x:v>
      </x:c>
      <x:c r="M48" s="180" t="n">
        <x:v>-1.39</x:v>
      </x:c>
      <x:c r="N48" s="180" t="n">
        <x:v>1.81</x:v>
      </x:c>
      <x:c r="O48" t="n">
        <x:v>8</x:v>
      </x:c>
      <x:c r="P48" t="n">
        <x:v>1</x:v>
      </x:c>
      <x:c r="Q48" t="n">
        <x:v>1</x:v>
      </x:c>
      <x:c r="R48" t="n">
        <x:v>0</x:v>
      </x:c>
      <x:c r="S48" s="180" t="n">
        <x:f>H48+'Parametry V13'!$B$5*I48+Q48*Z48*AA48</x:f>
        <x:v>4.4264</x:v>
      </x:c>
      <x:c r="T48" s="180" t="n">
        <x:f>H48+O48+'Parametry V13'!$B$5*(I48+P48)+(Q48+R48)*Z48*AA48</x:f>
        <x:v>12.8764</x:v>
      </x:c>
      <x:c r="U48" s="180" t="n">
        <x:f>S48+T48</x:f>
        <x:v>17.3028</x:v>
      </x:c>
      <x:c r="V48" s="181" t="n">
        <x:f>IFERROR(U48/'Parametry V13'!$B$8-1,0)</x:f>
        <x:v>-0.013246589123060759</x:v>
      </x:c>
      <x:c r="W48" t="str">
        <x:f>IF(ABS(M48)&lt;='Parametry V13'!$B$6,"W PASMIE","DO TESTU")</x:f>
        <x:v>W PASMIE</x:v>
      </x:c>
      <x:c r="X48" t="str">
        <x:f>IF(ABS(V48)&lt;='Parametry V13'!$B$7,"W PASMIE","ODCHYLENIE")</x:f>
        <x:v>W PASMIE</x:v>
      </x:c>
      <x:c r="Y48" t="str">
        <x:v>Zmieniono statystyki</x:v>
      </x:c>
      <x:c r="Z48" t="n">
        <x:v>1.8</x:v>
      </x:c>
      <x:c r="AA48" t="n">
        <x:v>0.348</x:v>
      </x:c>
      <x:c r="AB48" t="n">
        <x:f>T48-S48</x:f>
        <x:v>8.45</x:v>
      </x:c>
    </x:row>
    <x:row r="49">
      <x:c r="A49" t="str">
        <x:v>S91</x:v>
      </x:c>
      <x:c r="B49" t="str">
        <x:v>Potwory</x:v>
      </x:c>
      <x:c r="C49" t="str">
        <x:v>Dwuszczęki Horror</x:v>
      </x:c>
      <x:c r="D49" t="str">
        <x:v>Przy śmierci</x:v>
      </x:c>
      <x:c r="E49" t="str">
        <x:v>Podwójny atak</x:v>
      </x:c>
      <x:c r="F49" t="n">
        <x:v>2</x:v>
      </x:c>
      <x:c r="G49" t="n">
        <x:v>5</x:v>
      </x:c>
      <x:c r="H49" t="n">
        <x:v>1</x:v>
      </x:c>
      <x:c r="I49" t="n">
        <x:v>5</x:v>
      </x:c>
      <x:c r="J49" t="str">
        <x:v>Wybrana pozostała sojusznicza jednostka otrzymuje Podwójny atak do opuszczenia planszy.</x:v>
      </x:c>
      <x:c r="K49" t="str">
        <x:v>Wybrana pozostała sojusznicza jednostka otrzymuje Podwójny atak do opuszczenia planszy.</x:v>
      </x:c>
      <x:c r="L49" s="180" t="n">
        <x:v>5.91</x:v>
      </x:c>
      <x:c r="M49" s="180" t="n">
        <x:v>2.42</x:v>
      </x:c>
      <x:c r="N49" s="180" t="n">
        <x:v>1.8</x:v>
      </x:c>
      <x:c r="O49" t="n">
        <x:v>8</x:v>
      </x:c>
      <x:c r="P49" t="n">
        <x:v>0</x:v>
      </x:c>
      <x:c r="Q49" t="n">
        <x:v>1</x:v>
      </x:c>
      <x:c r="R49" t="n">
        <x:v>0</x:v>
      </x:c>
      <x:c r="S49" s="180" t="n">
        <x:f>H49+'Parametry V13'!$B$5*I49+Q49*Z49*AA49</x:f>
        <x:v>4.2904</x:v>
      </x:c>
      <x:c r="T49" s="180" t="n">
        <x:f>H49+O49+'Parametry V13'!$B$5*(I49+P49)+(Q49+R49)*Z49*AA49</x:f>
        <x:v>12.2904</x:v>
      </x:c>
      <x:c r="U49" s="180" t="n">
        <x:f>S49+T49</x:f>
        <x:v>16.5808</x:v>
      </x:c>
      <x:c r="V49" s="181" t="n">
        <x:f>IFERROR(U49/'Parametry V13'!$B$8-1,0)</x:f>
        <x:v>-0.05442119454259697</x:v>
      </x:c>
      <x:c r="W49" t="str">
        <x:f>IF(ABS(M49)&lt;='Parametry V13'!$B$6,"W PASMIE","DO TESTU")</x:f>
        <x:v>W PASMIE</x:v>
      </x:c>
      <x:c r="X49" t="str">
        <x:f>IF(ABS(V49)&lt;='Parametry V13'!$B$7,"W PASMIE","ODCHYLENIE")</x:f>
        <x:v>W PASMIE</x:v>
      </x:c>
      <x:c r="Y49" t="str">
        <x:v>Zmieniono statystyki</x:v>
      </x:c>
      <x:c r="Z49" t="n">
        <x:v>2.55</x:v>
      </x:c>
      <x:c r="AA49" t="n">
        <x:v>0.40800000000000003</x:v>
      </x:c>
      <x:c r="AB49" t="n">
        <x:f>T49-S49</x:f>
        <x:v>8</x:v>
      </x:c>
    </x:row>
    <x:row r="50">
      <x:c r="A50" t="str">
        <x:v>S27</x:v>
      </x:c>
      <x:c r="B50" t="str">
        <x:v>Krasnoludy</x:v>
      </x:c>
      <x:c r="C50" t="str">
        <x:v>Kusznik Runiczny</x:v>
      </x:c>
      <x:c r="D50" t="str">
        <x:v>Na koniec tury</x:v>
      </x:c>
      <x:c r="E50" t="str">
        <x:v>Obrażenia</x:v>
      </x:c>
      <x:c r="F50" t="n">
        <x:v>2</x:v>
      </x:c>
      <x:c r="G50" t="n">
        <x:v>6</x:v>
      </x:c>
      <x:c r="H50" t="n">
        <x:v>1</x:v>
      </x:c>
      <x:c r="I50" t="n">
        <x:v>6</x:v>
      </x:c>
      <x:c r="J50" t="str">
        <x:v>Zadaj 1 obrażenie wrogiej jednostce z najniższym aktualnym HP.</x:v>
      </x:c>
      <x:c r="K50" t="str">
        <x:v>Zadaj 1 obrażenie wrogiej jednostce z najniższym aktualnym HP.</x:v>
      </x:c>
      <x:c r="L50" s="180" t="n">
        <x:v>9.23</x:v>
      </x:c>
      <x:c r="M50" s="180" t="n">
        <x:v>0.86</x:v>
      </x:c>
      <x:c r="N50" s="180" t="n">
        <x:v>1.8</x:v>
      </x:c>
      <x:c r="O50" t="n">
        <x:v>3</x:v>
      </x:c>
      <x:c r="P50" t="n">
        <x:v>3</x:v>
      </x:c>
      <x:c r="Q50" t="n">
        <x:v>1</x:v>
      </x:c>
      <x:c r="R50" t="n">
        <x:v>1</x:v>
      </x:c>
      <x:c r="S50" s="180" t="n">
        <x:f>H50+'Parametry V13'!$B$5*I50+Q50*Z50*AA50</x:f>
        <x:v>5.8825</x:v>
      </x:c>
      <x:c r="T50" s="180" t="n">
        <x:f>H50+O50+'Parametry V13'!$B$5*(I50+P50)+(Q50+R50)*Z50*AA50</x:f>
        <x:v>12.415000000000001</x:v>
      </x:c>
      <x:c r="U50" s="180" t="n">
        <x:f>S50+T50</x:f>
        <x:v>18.2975</x:v>
      </x:c>
      <x:c r="V50" s="181" t="n">
        <x:f>IFERROR(U50/'Parametry V13'!$B$8-1,0)</x:f>
        <x:v>0.0434796989805577</x:v>
      </x:c>
      <x:c r="W50" t="str">
        <x:f>IF(ABS(M50)&lt;='Parametry V13'!$B$6,"W PASMIE","DO TESTU")</x:f>
        <x:v>W PASMIE</x:v>
      </x:c>
      <x:c r="X50" t="str">
        <x:f>IF(ABS(V50)&lt;='Parametry V13'!$B$7,"W PASMIE","ODCHYLENIE")</x:f>
        <x:v>W PASMIE</x:v>
      </x:c>
      <x:c r="Y50" t="str">
        <x:v>Zmieniono statystyki</x:v>
      </x:c>
      <x:c r="Z50" t="n">
        <x:v>1</x:v>
      </x:c>
      <x:c r="AA50" t="n">
        <x:v>2.1825</x:v>
      </x:c>
      <x:c r="AB50" t="n">
        <x:f>T50-S50</x:f>
        <x:v>6.532500000000001</x:v>
      </x:c>
    </x:row>
    <x:row r="51">
      <x:c r="A51" t="str">
        <x:v>S25</x:v>
      </x:c>
      <x:c r="B51" t="str">
        <x:v>Krasnoludy</x:v>
      </x:c>
      <x:c r="C51" t="str">
        <x:v>Medyk Górniczy</x:v>
      </x:c>
      <x:c r="D51" t="str">
        <x:v>Na koniec tury</x:v>
      </x:c>
      <x:c r="E51" t="str">
        <x:v>Leczenie</x:v>
      </x:c>
      <x:c r="F51" t="n">
        <x:v>1</x:v>
      </x:c>
      <x:c r="G51" t="n">
        <x:v>7</x:v>
      </x:c>
      <x:c r="H51" t="n">
        <x:v>2</x:v>
      </x:c>
      <x:c r="I51" t="n">
        <x:v>7</x:v>
      </x:c>
      <x:c r="J51" t="str">
        <x:v>Ulecz wybraną sojuszniczą jednostkę o 2 HP.</x:v>
      </x:c>
      <x:c r="K51" t="str">
        <x:v>Ulecz wybraną sojuszniczą jednostkę o 2 HP.</x:v>
      </x:c>
      <x:c r="L51" s="180" t="n">
        <x:v>-2.34</x:v>
      </x:c>
      <x:c r="M51" s="180" t="n">
        <x:v>2.83</x:v>
      </x:c>
      <x:c r="N51" s="180" t="n">
        <x:v>1.8</x:v>
      </x:c>
      <x:c r="O51" t="n">
        <x:v>0</x:v>
      </x:c>
      <x:c r="P51" t="n">
        <x:v>6</x:v>
      </x:c>
      <x:c r="Q51" t="n">
        <x:v>2</x:v>
      </x:c>
      <x:c r="R51" t="n">
        <x:v>1</x:v>
      </x:c>
      <x:c r="S51" s="180" t="n">
        <x:f>H51+'Parametry V13'!$B$5*I51+Q51*Z51*AA51</x:f>
        <x:v>7.269392</x:v>
      </x:c>
      <x:c r="T51" s="180" t="n">
        <x:f>H51+O51+'Parametry V13'!$B$5*(I51+P51)+(Q51+R51)*Z51*AA51</x:f>
        <x:v>11.029088</x:v>
      </x:c>
      <x:c r="U51" s="180" t="n">
        <x:f>S51+T51</x:f>
        <x:v>18.298479999999998</x:v>
      </x:c>
      <x:c r="V51" s="181" t="n">
        <x:f>IFERROR(U51/'Parametry V13'!$B$8-1,0)</x:f>
        <x:v>0.04353558694913273</x:v>
      </x:c>
      <x:c r="W51" t="str">
        <x:f>IF(ABS(M51)&lt;='Parametry V13'!$B$6,"W PASMIE","DO TESTU")</x:f>
        <x:v>W PASMIE</x:v>
      </x:c>
      <x:c r="X51" t="str">
        <x:f>IF(ABS(V51)&lt;='Parametry V13'!$B$7,"W PASMIE","ODCHYLENIE")</x:f>
        <x:v>W PASMIE</x:v>
      </x:c>
      <x:c r="Y51" t="str">
        <x:v>Zmieniono statystyki</x:v>
      </x:c>
      <x:c r="Z51" t="n">
        <x:v>0.66</x:v>
      </x:c>
      <x:c r="AA51" t="n">
        <x:v>1.6056</x:v>
      </x:c>
      <x:c r="AB51" t="n">
        <x:f>T51-S51</x:f>
        <x:v>3.759696</x:v>
      </x:c>
    </x:row>
    <x:row r="52">
      <x:c r="A52" t="str">
        <x:v>S28</x:v>
      </x:c>
      <x:c r="B52" t="str">
        <x:v>Krasnoludy</x:v>
      </x:c>
      <x:c r="C52" t="str">
        <x:v>Mistrz Run Bitewnych</x:v>
      </x:c>
      <x:c r="D52" t="str">
        <x:v>Na koniec tury</x:v>
      </x:c>
      <x:c r="E52" t="str">
        <x:v>ATK ±</x:v>
      </x:c>
      <x:c r="F52" t="n">
        <x:v>1</x:v>
      </x:c>
      <x:c r="G52" t="n">
        <x:v>6</x:v>
      </x:c>
      <x:c r="H52" t="n">
        <x:v>1</x:v>
      </x:c>
      <x:c r="I52" t="n">
        <x:v>5</x:v>
      </x:c>
      <x:c r="J52" t="str">
        <x:v>Wybierz: przyznaj sojuszniczej jednostce +1 ATK albo nałóż −1 ATK na wrogą jednostkę do końca jej najbliższej własnej tury.</x:v>
      </x:c>
      <x:c r="K52" t="str">
        <x:v>Wybierz: przyznaj sojuszniczej jednostce +1 ATK albo nałóż −1 ATK na wrogą jednostkę do końca jej najbliższej własnej tury.</x:v>
      </x:c>
      <x:c r="L52" s="180" t="n">
        <x:v>6.71</x:v>
      </x:c>
      <x:c r="M52" s="180" t="n">
        <x:v>0.45</x:v>
      </x:c>
      <x:c r="N52" s="180" t="n">
        <x:v>1.81</x:v>
      </x:c>
      <x:c r="O52" t="n">
        <x:v>6</x:v>
      </x:c>
      <x:c r="P52" t="n">
        <x:v>0</x:v>
      </x:c>
      <x:c r="Q52" t="n">
        <x:v>1</x:v>
      </x:c>
      <x:c r="R52" t="n">
        <x:v>1</x:v>
      </x:c>
      <x:c r="S52" s="180" t="n">
        <x:f>H52+'Parametry V13'!$B$5*I52+Q52*Z52*AA52</x:f>
        <x:v>4.9972</x:v>
      </x:c>
      <x:c r="T52" s="180" t="n">
        <x:f>H52+O52+'Parametry V13'!$B$5*(I52+P52)+(Q52+R52)*Z52*AA52</x:f>
        <x:v>12.7444</x:v>
      </x:c>
      <x:c r="U52" s="180" t="n">
        <x:f>S52+T52</x:f>
        <x:v>17.741600000000002</x:v>
      </x:c>
      <x:c r="V52" s="181" t="n">
        <x:f>IFERROR(U52/'Parametry V13'!$B$8-1,0)</x:f>
        <x:v>0.011777533949089536</x:v>
      </x:c>
      <x:c r="W52" t="str">
        <x:f>IF(ABS(M52)&lt;='Parametry V13'!$B$6,"W PASMIE","DO TESTU")</x:f>
        <x:v>W PASMIE</x:v>
      </x:c>
      <x:c r="X52" t="str">
        <x:f>IF(ABS(V52)&lt;='Parametry V13'!$B$7,"W PASMIE","ODCHYLENIE")</x:f>
        <x:v>W PASMIE</x:v>
      </x:c>
      <x:c r="Y52" t="str">
        <x:v>Zmieniono statystyki</x:v>
      </x:c>
      <x:c r="Z52" t="n">
        <x:v>1.05</x:v>
      </x:c>
      <x:c r="AA52" t="n">
        <x:v>1.6640000000000001</x:v>
      </x:c>
      <x:c r="AB52" t="n">
        <x:f>T52-S52</x:f>
        <x:v>7.7472</x:v>
      </x:c>
    </x:row>
    <x:row r="53">
      <x:c r="A53" t="str">
        <x:v>S93</x:v>
      </x:c>
      <x:c r="B53" t="str">
        <x:v>Krasnoludy</x:v>
      </x:c>
      <x:c r="C53" t="str">
        <x:v>Kowal Życiostali</x:v>
      </x:c>
      <x:c r="D53" t="str">
        <x:v>Na koniec tury</x:v>
      </x:c>
      <x:c r="E53" t="str">
        <x:v>MAX HP ±</x:v>
      </x:c>
      <x:c r="F53" t="n">
        <x:v>1</x:v>
      </x:c>
      <x:c r="G53" t="n">
        <x:v>7</x:v>
      </x:c>
      <x:c r="H53" t="n">
        <x:v>3</x:v>
      </x:c>
      <x:c r="I53" t="n">
        <x:v>6</x:v>
      </x:c>
      <x:c r="J53" t="str">
        <x:v>Wybierz: przyznaj sojuszniczej jednostce +1 MAX HP i +1 aktualnego HP albo obniż MAX HP wrogiej jednostki o 1 do końca jej najbliższej własnej tury.</x:v>
      </x:c>
      <x:c r="K53" t="str">
        <x:v>Wybierz: przyznaj sojuszniczej jednostce +1 MAX HP i +1 aktualnego HP albo obniż MAX HP wrogiej jednostki o 1 do końca jej najbliższej własnej tury.</x:v>
      </x:c>
      <x:c r="L53" s="180" t="n">
        <x:v>-6.14</x:v>
      </x:c>
      <x:c r="M53" s="180" t="n">
        <x:v>1.48</x:v>
      </x:c>
      <x:c r="N53" s="180" t="n">
        <x:v>1.8</x:v>
      </x:c>
      <x:c r="O53" t="n">
        <x:v>0</x:v>
      </x:c>
      <x:c r="P53" t="n">
        <x:v>6</x:v>
      </x:c>
      <x:c r="Q53" t="n">
        <x:v>1</x:v>
      </x:c>
      <x:c r="R53" t="n">
        <x:v>1</x:v>
      </x:c>
      <x:c r="S53" s="180" t="n">
        <x:f>H53+'Parametry V13'!$B$5*I53+Q53*Z53*AA53</x:f>
        <x:v>6.5652800000000004</x:v>
      </x:c>
      <x:c r="T53" s="180" t="n">
        <x:f>H53+O53+'Parametry V13'!$B$5*(I53+P53)+(Q53+R53)*Z53*AA53</x:f>
        <x:v>10.130560000000001</x:v>
      </x:c>
      <x:c r="U53" s="180" t="n">
        <x:f>S53+T53</x:f>
        <x:v>16.69584</x:v>
      </x:c>
      <x:c r="V53" s="181" t="n">
        <x:f>IFERROR(U53/'Parametry V13'!$B$8-1,0)</x:f>
        <x:v>-0.047860631374365026</x:v>
      </x:c>
      <x:c r="W53" t="str">
        <x:f>IF(ABS(M53)&lt;='Parametry V13'!$B$6,"W PASMIE","DO TESTU")</x:f>
        <x:v>W PASMIE</x:v>
      </x:c>
      <x:c r="X53" t="str">
        <x:f>IF(ABS(V53)&lt;='Parametry V13'!$B$7,"W PASMIE","ODCHYLENIE")</x:f>
        <x:v>W PASMIE</x:v>
      </x:c>
      <x:c r="Y53" t="str">
        <x:v>Zmieniono statystyki</x:v>
      </x:c>
      <x:c r="Z53" t="n">
        <x:v>0.52</x:v>
      </x:c>
      <x:c r="AA53" t="n">
        <x:v>1.6640000000000001</x:v>
      </x:c>
      <x:c r="AB53" t="n">
        <x:f>T53-S53</x:f>
        <x:v>3.5652800000000004</x:v>
      </x:c>
    </x:row>
    <x:row r="54">
      <x:c r="A54" t="str">
        <x:v>S26</x:v>
      </x:c>
      <x:c r="B54" t="str">
        <x:v>Krasnoludy</x:v>
      </x:c>
      <x:c r="C54" t="str">
        <x:v>Kowal Żelaznej Kuźni</x:v>
      </x:c>
      <x:c r="D54" t="str">
        <x:v>Na koniec tury</x:v>
      </x:c>
      <x:c r="E54" t="str">
        <x:v>Pancerz</x:v>
      </x:c>
      <x:c r="F54" t="n">
        <x:v>2</x:v>
      </x:c>
      <x:c r="G54" t="n">
        <x:v>6</x:v>
      </x:c>
      <x:c r="H54" t="n">
        <x:v>2</x:v>
      </x:c>
      <x:c r="I54" t="n">
        <x:v>6</x:v>
      </x:c>
      <x:c r="J54" t="str">
        <x:v>Przyznaj 2 tymczasowego pancerza wybranej sojuszniczej jednostce do końca jej najbliższej własnej tury.</x:v>
      </x:c>
      <x:c r="K54" t="str">
        <x:v>Przyznaj 2 tymczasowego pancerza wybranej sojuszniczej jednostce do końca jej najbliższej własnej tury.</x:v>
      </x:c>
      <x:c r="L54" s="180" t="n">
        <x:v>1.13</x:v>
      </x:c>
      <x:c r="M54" s="180" t="n">
        <x:v>-0.28</x:v>
      </x:c>
      <x:c r="N54" s="180" t="n">
        <x:v>1.81</x:v>
      </x:c>
      <x:c r="O54" t="n">
        <x:v>0</x:v>
      </x:c>
      <x:c r="P54" t="n">
        <x:v>6</x:v>
      </x:c>
      <x:c r="Q54" t="n">
        <x:v>2</x:v>
      </x:c>
      <x:c r="R54" t="n">
        <x:v>1</x:v>
      </x:c>
      <x:c r="S54" s="180" t="n">
        <x:f>H54+'Parametry V13'!$B$5*I54+Q54*Z54*AA54</x:f>
        <x:v>6.33856</x:v>
      </x:c>
      <x:c r="T54" s="180" t="n">
        <x:f>H54+O54+'Parametry V13'!$B$5*(I54+P54)+(Q54+R54)*Z54*AA54</x:f>
        <x:v>9.857840000000001</x:v>
      </x:c>
      <x:c r="U54" s="180" t="n">
        <x:f>S54+T54</x:f>
        <x:v>16.1964</x:v>
      </x:c>
      <x:c r="V54" s="181" t="n">
        <x:f>IFERROR(U54/'Parametry V13'!$B$8-1,0)</x:f>
        <x:v>-0.0763429650734414</x:v>
      </x:c>
      <x:c r="W54" t="str">
        <x:f>IF(ABS(M54)&lt;='Parametry V13'!$B$6,"W PASMIE","DO TESTU")</x:f>
        <x:v>W PASMIE</x:v>
      </x:c>
      <x:c r="X54" t="str">
        <x:f>IF(ABS(V54)&lt;='Parametry V13'!$B$7,"W PASMIE","ODCHYLENIE")</x:f>
        <x:v>W PASMIE</x:v>
      </x:c>
      <x:c r="Y54" t="str">
        <x:v>Bez korekty statystyk</x:v>
      </x:c>
      <x:c r="Z54" t="n">
        <x:v>0.55</x:v>
      </x:c>
      <x:c r="AA54" t="n">
        <x:v>1.4896</x:v>
      </x:c>
      <x:c r="AB54" t="n">
        <x:f>T54-S54</x:f>
        <x:v>3.519280000000001</x:v>
      </x:c>
    </x:row>
    <x:row r="55">
      <x:c r="A55" t="str">
        <x:v>S94</x:v>
      </x:c>
      <x:c r="B55" t="str">
        <x:v>Krasnoludy</x:v>
      </x:c>
      <x:c r="C55" t="str">
        <x:v>Mistrz Tarczy</x:v>
      </x:c>
      <x:c r="D55" t="str">
        <x:v>Na koniec tury</x:v>
      </x:c>
      <x:c r="E55" t="str">
        <x:v>Tarcza</x:v>
      </x:c>
      <x:c r="F55" t="n">
        <x:v>1</x:v>
      </x:c>
      <x:c r="G55" t="n">
        <x:v>6</x:v>
      </x:c>
      <x:c r="H55" t="n">
        <x:v>1</x:v>
      </x:c>
      <x:c r="I55" t="n">
        <x:v>8</x:v>
      </x:c>
      <x:c r="J55" t="str">
        <x:v>Daj wybranej sojuszniczej jednostce 1 tarczę, jeśli jeszcze jej nie posiada.</x:v>
      </x:c>
      <x:c r="K55" t="str">
        <x:v>Daj wybranej sojuszniczej jednostce 1 tarczę, jeśli jeszcze jej nie posiada.</x:v>
      </x:c>
      <x:c r="L55" s="180" t="n">
        <x:v>-2.53</x:v>
      </x:c>
      <x:c r="M55" s="180" t="n">
        <x:v>-1.83</x:v>
      </x:c>
      <x:c r="N55" s="180" t="n">
        <x:v>1.8</x:v>
      </x:c>
      <x:c r="O55" t="n">
        <x:v>0</x:v>
      </x:c>
      <x:c r="P55" t="n">
        <x:v>9</x:v>
      </x:c>
      <x:c r="Q55" t="n">
        <x:v>1</x:v>
      </x:c>
      <x:c r="R55" t="n">
        <x:v>0</x:v>
      </x:c>
      <x:c r="S55" s="180" t="n">
        <x:f>H55+'Parametry V13'!$B$5*I55+Q55*Z55*AA55</x:f>
        <x:v>6.58253</x:v>
      </x:c>
      <x:c r="T55" s="180" t="n">
        <x:f>H55+O55+'Parametry V13'!$B$5*(I55+P55)+(Q55+R55)*Z55*AA55</x:f>
        <x:v>10.632530000000001</x:v>
      </x:c>
      <x:c r="U55" s="180" t="n">
        <x:f>S55+T55</x:f>
        <x:v>17.21506</x:v>
      </x:c>
      <x:c r="V55" s="181" t="n">
        <x:f>IFERROR(U55/'Parametry V13'!$B$8-1,0)</x:f>
        <x:v>-0.018250273166703468</x:v>
      </x:c>
      <x:c r="W55" t="str">
        <x:f>IF(ABS(M55)&lt;='Parametry V13'!$B$6,"W PASMIE","DO TESTU")</x:f>
        <x:v>W PASMIE</x:v>
      </x:c>
      <x:c r="X55" t="str">
        <x:f>IF(ABS(V55)&lt;='Parametry V13'!$B$7,"W PASMIE","ODCHYLENIE")</x:f>
        <x:v>W PASMIE</x:v>
      </x:c>
      <x:c r="Y55" t="str">
        <x:v>Zmieniono statystyki</x:v>
      </x:c>
      <x:c r="Z55" t="n">
        <x:v>2.2</x:v>
      </x:c>
      <x:c r="AA55" t="n">
        <x:v>0.90115</x:v>
      </x:c>
      <x:c r="AB55" t="n">
        <x:f>T55-S55</x:f>
        <x:v>4.050000000000001</x:v>
      </x:c>
    </x:row>
    <x:row r="56">
      <x:c r="A56" t="str">
        <x:v>S32</x:v>
      </x:c>
      <x:c r="B56" t="str">
        <x:v>Krasnoludy</x:v>
      </x:c>
      <x:c r="C56" t="str">
        <x:v>Alchemik Kopalnianych Trucizn</x:v>
      </x:c>
      <x:c r="D56" t="str">
        <x:v>Na koniec tury</x:v>
      </x:c>
      <x:c r="E56" t="str">
        <x:v>Trucizna</x:v>
      </x:c>
      <x:c r="F56" t="n">
        <x:v>1</x:v>
      </x:c>
      <x:c r="G56" t="n">
        <x:v>6</x:v>
      </x:c>
      <x:c r="H56" t="n">
        <x:v>1</x:v>
      </x:c>
      <x:c r="I56" t="n">
        <x:v>5</x:v>
      </x:c>
      <x:c r="J56" t="str">
        <x:v>Nałóż na wybraną wrogą jednostkę truciznę: 1 obrażenie przez 2 jej własne tury.</x:v>
      </x:c>
      <x:c r="K56" t="str">
        <x:v>Na koniec tury nałóż na wybraną wrogą jednostkę truciznę: 1 obrażenie przez 2 jej własne tury. Jedna jednostka może mieć tylko jedną aktywną truciznę pochodzącą od tego Alchemika; trucizny różnych źródeł nadal się sumują.</x:v>
      </x:c>
      <x:c r="L56" s="180" t="n">
        <x:v>8.18</x:v>
      </x:c>
      <x:c r="M56" s="180" t="n">
        <x:v>0.78</x:v>
      </x:c>
      <x:c r="N56" s="180" t="n">
        <x:v>1.81</x:v>
      </x:c>
      <x:c r="O56" t="n">
        <x:v>6</x:v>
      </x:c>
      <x:c r="P56" t="n">
        <x:v>0</x:v>
      </x:c>
      <x:c r="Q56" t="n">
        <x:v>2</x:v>
      </x:c>
      <x:c r="R56" t="n">
        <x:v>1</x:v>
      </x:c>
      <x:c r="S56" s="180" t="n">
        <x:f>H56+'Parametry V13'!$B$5*I56+Q56*Z56*AA56</x:f>
        <x:v>5.29984</x:v>
      </x:c>
      <x:c r="T56" s="180" t="n">
        <x:f>H56+O56+'Parametry V13'!$B$5*(I56+P56)+(Q56+R56)*Z56*AA56</x:f>
        <x:v>12.32476</x:v>
      </x:c>
      <x:c r="U56" s="180" t="n">
        <x:f>S56+T56</x:f>
        <x:v>17.6246</x:v>
      </x:c>
      <x:c r="V56" s="181" t="n">
        <x:f>IFERROR(U56/'Parametry V13'!$B$8-1,0)</x:f>
        <x:v>0.005105194843707528</x:v>
      </x:c>
      <x:c r="W56" t="str">
        <x:f>IF(ABS(M56)&lt;='Parametry V13'!$B$6,"W PASMIE","DO TESTU")</x:f>
        <x:v>W PASMIE</x:v>
      </x:c>
      <x:c r="X56" t="str">
        <x:f>IF(ABS(V56)&lt;='Parametry V13'!$B$7,"W PASMIE","ODCHYLENIE")</x:f>
        <x:v>W PASMIE</x:v>
      </x:c>
      <x:c r="Y56" t="str">
        <x:v>Brak dokładania tej samej trucizny, kiedy już trwa.</x:v>
      </x:c>
      <x:c r="Z56" t="n">
        <x:v>0.78</x:v>
      </x:c>
      <x:c r="AA56" t="n">
        <x:v>1.314</x:v>
      </x:c>
      <x:c r="AB56" t="n">
        <x:f>T56-S56</x:f>
        <x:v>7.02492</x:v>
      </x:c>
    </x:row>
    <x:row r="57">
      <x:c r="A57" t="str">
        <x:v>S95</x:v>
      </x:c>
      <x:c r="B57" t="str">
        <x:v>Krasnoludy</x:v>
      </x:c>
      <x:c r="C57" t="str">
        <x:v>Młotnik Wstrząsów</x:v>
      </x:c>
      <x:c r="D57" t="str">
        <x:v>Na koniec tury</x:v>
      </x:c>
      <x:c r="E57" t="str">
        <x:v>Ogłuszenie</x:v>
      </x:c>
      <x:c r="F57" t="n">
        <x:v>1</x:v>
      </x:c>
      <x:c r="G57" t="n">
        <x:v>6</x:v>
      </x:c>
      <x:c r="H57" t="n">
        <x:v>1</x:v>
      </x:c>
      <x:c r="I57" t="n">
        <x:v>6</x:v>
      </x:c>
      <x:c r="J57" t="str">
        <x:v>Ogłusz wrogą jednostkę z najniższym aktualnym ATK na 1 jej własną turę.</x:v>
      </x:c>
      <x:c r="K57" t="str">
        <x:v>Na koniec tury ogłusz wrogą jednostkę z najniższym aktualnym ATK na 1 jej własną turę. Nie możesz ogłuszać tej samej jednostki w dwóch kolejnych własnych turach.</x:v>
      </x:c>
      <x:c r="L57" s="180" t="n">
        <x:v>2.98</x:v>
      </x:c>
      <x:c r="M57" s="180" t="n">
        <x:v>1.06</x:v>
      </x:c>
      <x:c r="N57" s="180" t="n">
        <x:v>1.8</x:v>
      </x:c>
      <x:c r="O57" t="n">
        <x:v>3</x:v>
      </x:c>
      <x:c r="P57" t="n">
        <x:v>3</x:v>
      </x:c>
      <x:c r="Q57" t="n">
        <x:v>1</x:v>
      </x:c>
      <x:c r="R57" t="n">
        <x:v>1</x:v>
      </x:c>
      <x:c r="S57" s="180" t="n">
        <x:f>H57+'Parametry V13'!$B$5*I57+Q57*Z57*AA57</x:f>
        <x:v>7.0041</x:v>
      </x:c>
      <x:c r="T57" s="180" t="n">
        <x:f>H57+O57+'Parametry V13'!$B$5*(I57+P57)+(Q57+R57)*Z57*AA57</x:f>
        <x:v>14.6582</x:v>
      </x:c>
      <x:c r="U57" s="180" t="n">
        <x:f>S57+T57</x:f>
        <x:v>21.662300000000002</x:v>
      </x:c>
      <x:c r="V57" s="181" t="n">
        <x:f>IFERROR(U57/'Parametry V13'!$B$8-1,0)</x:f>
        <x:v>0.23536932822661782</x:v>
      </x:c>
      <x:c r="W57" t="str">
        <x:f>IF(ABS(M57)&lt;='Parametry V13'!$B$6,"W PASMIE","DO TESTU")</x:f>
        <x:v>W PASMIE</x:v>
      </x:c>
      <x:c r="X57" t="str">
        <x:f>IF(ABS(V57)&lt;='Parametry V13'!$B$7,"W PASMIE","ODCHYLENIE")</x:f>
        <x:v>ODCHYLENIE</x:v>
      </x:c>
      <x:c r="Y57" t="str">
        <x:v>Przerwa chroni przed nieprzerwanym stun-lockiem jednego celu.</x:v>
      </x:c>
      <x:c r="Z57" t="n">
        <x:v>2.35</x:v>
      </x:c>
      <x:c r="AA57" t="n">
        <x:v>1.406</x:v>
      </x:c>
      <x:c r="AB57" t="n">
        <x:f>T57-S57</x:f>
        <x:v>7.654100000000001</x:v>
      </x:c>
    </x:row>
    <x:row r="58">
      <x:c r="A58" t="str">
        <x:v>S31</x:v>
      </x:c>
      <x:c r="B58" t="str">
        <x:v>Krasnoludy</x:v>
      </x:c>
      <x:c r="C58" t="str">
        <x:v>Znachor Klanowy</x:v>
      </x:c>
      <x:c r="D58" t="str">
        <x:v>Na koniec tury</x:v>
      </x:c>
      <x:c r="E58" t="str">
        <x:v>Regeneracja</x:v>
      </x:c>
      <x:c r="F58" t="n">
        <x:v>1</x:v>
      </x:c>
      <x:c r="G58" t="n">
        <x:v>6</x:v>
      </x:c>
      <x:c r="H58" t="n">
        <x:v>2</x:v>
      </x:c>
      <x:c r="I58" t="n">
        <x:v>6</x:v>
      </x:c>
      <x:c r="J58" t="str">
        <x:v>Nałóż na wybraną sojuszniczą jednostkę regenerację 1 HP przez 2 jej własne tury.</x:v>
      </x:c>
      <x:c r="K58" t="str">
        <x:v>Nałóż na wybraną sojuszniczą jednostkę regenerację 1 HP przez 2 jej własne tury.</x:v>
      </x:c>
      <x:c r="L58" s="180" t="n">
        <x:v>-1.79</x:v>
      </x:c>
      <x:c r="M58" s="180" t="n">
        <x:v>1.28</x:v>
      </x:c>
      <x:c r="N58" s="180" t="n">
        <x:v>1.81</x:v>
      </x:c>
      <x:c r="O58" t="n">
        <x:v>0</x:v>
      </x:c>
      <x:c r="P58" t="n">
        <x:v>6</x:v>
      </x:c>
      <x:c r="Q58" t="n">
        <x:v>2</x:v>
      </x:c>
      <x:c r="R58" t="n">
        <x:v>1</x:v>
      </x:c>
      <x:c r="S58" s="180" t="n">
        <x:f>H58+'Parametry V13'!$B$5*I58+Q58*Z58*AA58</x:f>
        <x:v>5.6552180000000005</x:v>
      </x:c>
      <x:c r="T58" s="180" t="n">
        <x:f>H58+O58+'Parametry V13'!$B$5*(I58+P58)+(Q58+R58)*Z58*AA58</x:f>
        <x:v>8.832827</x:v>
      </x:c>
      <x:c r="U58" s="180" t="n">
        <x:f>S58+T58</x:f>
        <x:v>14.488045</x:v>
      </x:c>
      <x:c r="V58" s="181" t="n">
        <x:f>IFERROR(U58/'Parametry V13'!$B$8-1,0)</x:f>
        <x:v>-0.1737679554356183</x:v>
      </x:c>
      <x:c r="W58" t="str">
        <x:f>IF(ABS(M58)&lt;='Parametry V13'!$B$6,"W PASMIE","DO TESTU")</x:f>
        <x:v>W PASMIE</x:v>
      </x:c>
      <x:c r="X58" t="str">
        <x:f>IF(ABS(V58)&lt;='Parametry V13'!$B$7,"W PASMIE","ODCHYLENIE")</x:f>
        <x:v>ODCHYLENIE</x:v>
      </x:c>
      <x:c r="Y58" t="str">
        <x:v>Zmieniono statystyki</x:v>
      </x:c>
      <x:c r="Z58" t="n">
        <x:v>0.41</x:v>
      </x:c>
      <x:c r="AA58" t="n">
        <x:v>1.1649</x:v>
      </x:c>
      <x:c r="AB58" t="n">
        <x:f>T58-S58</x:f>
        <x:v>3.1776089999999995</x:v>
      </x:c>
    </x:row>
    <x:row r="59">
      <x:c r="A59" t="str">
        <x:v>S96</x:v>
      </x:c>
      <x:c r="B59" t="str">
        <x:v>Krasnoludy</x:v>
      </x:c>
      <x:c r="C59" t="str">
        <x:v>Wartownik Szybu</x:v>
      </x:c>
      <x:c r="D59" t="str">
        <x:v>Na koniec tury</x:v>
      </x:c>
      <x:c r="E59" t="str">
        <x:v>Prowokacja</x:v>
      </x:c>
      <x:c r="F59" t="n">
        <x:v>1</x:v>
      </x:c>
      <x:c r="G59" t="n">
        <x:v>8</x:v>
      </x:c>
      <x:c r="H59" t="n">
        <x:v>2</x:v>
      </x:c>
      <x:c r="I59" t="n">
        <x:v>8</x:v>
      </x:c>
      <x:c r="J59" t="str">
        <x:v>Nadaj wybranej sojuszniczej jednostce prowokację do końca jej najbliższej własnej tury.</x:v>
      </x:c>
      <x:c r="K59" t="str">
        <x:v>Nadaj wybranej sojuszniczej jednostce prowokację do końca jej najbliższej własnej tury.</x:v>
      </x:c>
      <x:c r="L59" s="180" t="n">
        <x:v>-2.39</x:v>
      </x:c>
      <x:c r="M59" s="180" t="n">
        <x:v>1.56</x:v>
      </x:c>
      <x:c r="N59" s="180" t="n">
        <x:v>1.81</x:v>
      </x:c>
      <x:c r="O59" t="n">
        <x:v>0</x:v>
      </x:c>
      <x:c r="P59" t="n">
        <x:v>9</x:v>
      </x:c>
      <x:c r="Q59" t="n">
        <x:v>1</x:v>
      </x:c>
      <x:c r="R59" t="n">
        <x:v>0</x:v>
      </x:c>
      <x:c r="S59" s="180" t="n">
        <x:f>H59+'Parametry V13'!$B$5*I59+Q59*Z59*AA59</x:f>
        <x:v>7.09464</x:v>
      </x:c>
      <x:c r="T59" s="180" t="n">
        <x:f>H59+O59+'Parametry V13'!$B$5*(I59+P59)+(Q59+R59)*Z59*AA59</x:f>
        <x:v>11.14464</x:v>
      </x:c>
      <x:c r="U59" s="180" t="n">
        <x:f>S59+T59</x:f>
        <x:v>18.23928</x:v>
      </x:c>
      <x:c r="V59" s="181" t="n">
        <x:f>IFERROR(U59/'Parametry V13'!$B$8-1,0)</x:f>
        <x:v>0.04015949741888836</x:v>
      </x:c>
      <x:c r="W59" t="str">
        <x:f>IF(ABS(M59)&lt;='Parametry V13'!$B$6,"W PASMIE","DO TESTU")</x:f>
        <x:v>W PASMIE</x:v>
      </x:c>
      <x:c r="X59" t="str">
        <x:f>IF(ABS(V59)&lt;='Parametry V13'!$B$7,"W PASMIE","ODCHYLENIE")</x:f>
        <x:v>W PASMIE</x:v>
      </x:c>
      <x:c r="Y59" t="str">
        <x:v>Zmieniono statystyki</x:v>
      </x:c>
      <x:c r="Z59" t="n">
        <x:v>1.4</x:v>
      </x:c>
      <x:c r="AA59" t="n">
        <x:v>1.0676</x:v>
      </x:c>
      <x:c r="AB59" t="n">
        <x:f>T59-S59</x:f>
        <x:v>4.050000000000001</x:v>
      </x:c>
    </x:row>
    <x:row r="60">
      <x:c r="A60" t="str">
        <x:v>S97</x:v>
      </x:c>
      <x:c r="B60" t="str">
        <x:v>Krasnoludy</x:v>
      </x:c>
      <x:c r="C60" t="str">
        <x:v>Czyściciel Run</x:v>
      </x:c>
      <x:c r="D60" t="str">
        <x:v>Na koniec tury</x:v>
      </x:c>
      <x:c r="E60" t="str">
        <x:v>Oczyszczanie</x:v>
      </x:c>
      <x:c r="F60" t="n">
        <x:v>1</x:v>
      </x:c>
      <x:c r="G60" t="n">
        <x:v>6</x:v>
      </x:c>
      <x:c r="H60" t="n">
        <x:v>1</x:v>
      </x:c>
      <x:c r="I60" t="n">
        <x:v>6</x:v>
      </x:c>
      <x:c r="J60" t="str">
        <x:v>Usuń wszystkie tymczasowe negatywne efekty z wybranej sojuszniczej jednostki.</x:v>
      </x:c>
      <x:c r="K60" t="str">
        <x:v>Usuń wszystkie tymczasowe negatywne efekty z wybranej sojuszniczej jednostki.</x:v>
      </x:c>
      <x:c r="L60" s="180" t="n">
        <x:v>1.47</x:v>
      </x:c>
      <x:c r="M60" s="180" t="n">
        <x:v>-2.37</x:v>
      </x:c>
      <x:c r="N60" s="180" t="n">
        <x:v>1.81</x:v>
      </x:c>
      <x:c r="O60" t="n">
        <x:v>3</x:v>
      </x:c>
      <x:c r="P60" t="n">
        <x:v>3</x:v>
      </x:c>
      <x:c r="Q60" t="n">
        <x:v>1</x:v>
      </x:c>
      <x:c r="R60" t="n">
        <x:v>1</x:v>
      </x:c>
      <x:c r="S60" s="180" t="n">
        <x:f>H60+'Parametry V13'!$B$5*I60+Q60*Z60*AA60</x:f>
        <x:v>4.8683125</x:v>
      </x:c>
      <x:c r="T60" s="180" t="n">
        <x:f>H60+O60+'Parametry V13'!$B$5*(I60+P60)+(Q60+R60)*Z60*AA60</x:f>
        <x:v>10.386625</x:v>
      </x:c>
      <x:c r="U60" s="180" t="n">
        <x:f>S60+T60</x:f>
        <x:v>15.2549375</x:v>
      </x:c>
      <x:c r="V60" s="181" t="n">
        <x:f>IFERROR(U60/'Parametry V13'!$B$8-1,0)</x:f>
        <x:v>-0.13003319631276278</x:v>
      </x:c>
      <x:c r="W60" t="str">
        <x:f>IF(ABS(M60)&lt;='Parametry V13'!$B$6,"W PASMIE","DO TESTU")</x:f>
        <x:v>W PASMIE</x:v>
      </x:c>
      <x:c r="X60" t="str">
        <x:f>IF(ABS(V60)&lt;='Parametry V13'!$B$7,"W PASMIE","ODCHYLENIE")</x:f>
        <x:v>ODCHYLENIE</x:v>
      </x:c>
      <x:c r="Y60" t="str">
        <x:v>Bez korekty statystyk</x:v>
      </x:c>
      <x:c r="Z60" t="n">
        <x:v>1.55</x:v>
      </x:c>
      <x:c r="AA60" t="n">
        <x:v>0.75375</x:v>
      </x:c>
      <x:c r="AB60" t="n">
        <x:f>T60-S60</x:f>
        <x:v>5.5183125</x:v>
      </x:c>
    </x:row>
    <x:row r="61">
      <x:c r="A61" t="str">
        <x:v>S99</x:v>
      </x:c>
      <x:c r="B61" t="str">
        <x:v>Krasnoludy</x:v>
      </x:c>
      <x:c r="C61" t="str">
        <x:v>Górski Odtruwacz</x:v>
      </x:c>
      <x:c r="D61" t="str">
        <x:v>Na koniec tury</x:v>
      </x:c>
      <x:c r="E61" t="str">
        <x:v>Odporność</x:v>
      </x:c>
      <x:c r="F61" t="n">
        <x:v>2</x:v>
      </x:c>
      <x:c r="G61" t="n">
        <x:v>6</x:v>
      </x:c>
      <x:c r="H61" t="n">
        <x:v>3</x:v>
      </x:c>
      <x:c r="I61" t="n">
        <x:v>7</x:v>
      </x:c>
      <x:c r="J61" t="str">
        <x:v>Nadaj wybranej sojuszniczej jednostce odporność na truciznę do końca jej najbliższej własnej tury.</x:v>
      </x:c>
      <x:c r="K61" t="str">
        <x:v>Nadaj wybranej sojuszniczej jednostce odporność na truciznę do końca jej najbliższej własnej tury.</x:v>
      </x:c>
      <x:c r="L61" s="180" t="n">
        <x:v>-3.72</x:v>
      </x:c>
      <x:c r="M61" s="180" t="n">
        <x:v>-1.66</x:v>
      </x:c>
      <x:c r="N61" s="180" t="n">
        <x:v>1.81</x:v>
      </x:c>
      <x:c r="O61" t="n">
        <x:v>0</x:v>
      </x:c>
      <x:c r="P61" t="n">
        <x:v>6</x:v>
      </x:c>
      <x:c r="Q61" t="n">
        <x:v>1</x:v>
      </x:c>
      <x:c r="R61" t="n">
        <x:v>1</x:v>
      </x:c>
      <x:c r="S61" s="180" t="n">
        <x:f>H61+'Parametry V13'!$B$5*I61+Q61*Z61*AA61</x:f>
        <x:v>7.1862</x:v>
      </x:c>
      <x:c r="T61" s="180" t="n">
        <x:f>H61+O61+'Parametry V13'!$B$5*(I61+P61)+(Q61+R61)*Z61*AA61</x:f>
        <x:v>10.922400000000001</x:v>
      </x:c>
      <x:c r="U61" s="180" t="n">
        <x:f>S61+T61</x:f>
        <x:v>18.108600000000003</x:v>
      </x:c>
      <x:c r="V61" s="181" t="n">
        <x:f>IFERROR(U61/'Parametry V13'!$B$8-1,0)</x:f>
        <x:v>0.032707007895031115</x:v>
      </x:c>
      <x:c r="W61" t="str">
        <x:f>IF(ABS(M61)&lt;='Parametry V13'!$B$6,"W PASMIE","DO TESTU")</x:f>
        <x:v>W PASMIE</x:v>
      </x:c>
      <x:c r="X61" t="str">
        <x:f>IF(ABS(V61)&lt;='Parametry V13'!$B$7,"W PASMIE","ODCHYLENIE")</x:f>
        <x:v>W PASMIE</x:v>
      </x:c>
      <x:c r="Y61" t="str">
        <x:v>Zmieniono statystyki</x:v>
      </x:c>
      <x:c r="Z61" t="n">
        <x:v>1.2</x:v>
      </x:c>
      <x:c r="AA61" t="n">
        <x:v>0.8635000000000002</x:v>
      </x:c>
      <x:c r="AB61" t="n">
        <x:f>T61-S61</x:f>
        <x:v>3.736200000000001</x:v>
      </x:c>
    </x:row>
    <x:row r="62">
      <x:c r="A62" t="str">
        <x:v>S101</x:v>
      </x:c>
      <x:c r="B62" t="str">
        <x:v>Krasnoludy</x:v>
      </x:c>
      <x:c r="C62" t="str">
        <x:v>Konstruktor Sprężyn</x:v>
      </x:c>
      <x:c r="D62" t="str">
        <x:v>Na koniec tury</x:v>
      </x:c>
      <x:c r="E62" t="str">
        <x:v>Szybki atak</x:v>
      </x:c>
      <x:c r="F62" t="n">
        <x:v>3</x:v>
      </x:c>
      <x:c r="G62" t="n">
        <x:v>4</x:v>
      </x:c>
      <x:c r="H62" t="n">
        <x:v>2</x:v>
      </x:c>
      <x:c r="I62" t="n">
        <x:v>4</x:v>
      </x:c>
      <x:c r="J62" t="str">
        <x:v>Nadaj wybranej karcie jednostki z własnej ręki możliwość ataku od razu po najbliższym wystawieniu.</x:v>
      </x:c>
      <x:c r="K62" t="str">
        <x:v>Na koniec tury wybierz jedną kartę jednostki z ręki; otrzymuje Szybki atak wyłącznie jeśli wystawisz ją w swojej następnej turze. Bonus nie przechodzi na kolejne tury i nie kumuluje się.</x:v>
      </x:c>
      <x:c r="L62" s="180" t="n">
        <x:v>6.42</x:v>
      </x:c>
      <x:c r="M62" s="180" t="n">
        <x:v>-0.7</x:v>
      </x:c>
      <x:c r="N62" s="180" t="n">
        <x:v>1.8</x:v>
      </x:c>
      <x:c r="O62" t="n">
        <x:v>8</x:v>
      </x:c>
      <x:c r="P62" t="n">
        <x:v>1</x:v>
      </x:c>
      <x:c r="Q62" t="n">
        <x:v>1</x:v>
      </x:c>
      <x:c r="R62" t="n">
        <x:v>0</x:v>
      </x:c>
      <x:c r="S62" s="180" t="n">
        <x:f>H62+'Parametry V13'!$B$5*I62+Q62*Z62*AA62</x:f>
        <x:v>5.42342</x:v>
      </x:c>
      <x:c r="T62" s="180" t="n">
        <x:f>H62+O62+'Parametry V13'!$B$5*(I62+P62)+(Q62+R62)*Z62*AA62</x:f>
        <x:v>13.87342</x:v>
      </x:c>
      <x:c r="U62" s="180" t="n">
        <x:f>S62+T62</x:f>
        <x:v>19.29684</x:v>
      </x:c>
      <x:c r="V62" s="181" t="n">
        <x:f>IFERROR(U62/'Parametry V13'!$B$8-1,0)</x:f>
        <x:v>0.10047059950681714</x:v>
      </x:c>
      <x:c r="W62" t="str">
        <x:f>IF(ABS(M62)&lt;='Parametry V13'!$B$6,"W PASMIE","DO TESTU")</x:f>
        <x:v>W PASMIE</x:v>
      </x:c>
      <x:c r="X62" t="str">
        <x:f>IF(ABS(V62)&lt;='Parametry V13'!$B$7,"W PASMIE","ODCHYLENIE")</x:f>
        <x:v>W PASMIE</x:v>
      </x:c>
      <x:c r="Y62" t="str">
        <x:v>Szybki atak musi zostać wykorzystany w następnej własnej turze.</x:v>
      </x:c>
      <x:c r="Z62" t="n">
        <x:v>1.8</x:v>
      </x:c>
      <x:c r="AA62" t="n">
        <x:v>0.9018999999999999</x:v>
      </x:c>
      <x:c r="AB62" t="n">
        <x:f>T62-S62</x:f>
        <x:v>8.45</x:v>
      </x:c>
    </x:row>
    <x:row r="63">
      <x:c r="A63" t="str">
        <x:v>S102</x:v>
      </x:c>
      <x:c r="B63" t="str">
        <x:v>Krasnoludy</x:v>
      </x:c>
      <x:c r="C63" t="str">
        <x:v>Mechanik Dwóch Ostrzy</x:v>
      </x:c>
      <x:c r="D63" t="str">
        <x:v>Na koniec tury</x:v>
      </x:c>
      <x:c r="E63" t="str">
        <x:v>Podwójny atak</x:v>
      </x:c>
      <x:c r="F63" t="n">
        <x:v>2</x:v>
      </x:c>
      <x:c r="G63" t="n">
        <x:v>5</x:v>
      </x:c>
      <x:c r="H63" t="n">
        <x:v>1</x:v>
      </x:c>
      <x:c r="I63" t="n">
        <x:v>5</x:v>
      </x:c>
      <x:c r="J63" t="str">
        <x:v>Wybrana sojusznicza jednostka otrzymuje Podwójny atak do końca jej najbliższej własnej tury.</x:v>
      </x:c>
      <x:c r="K63" t="str">
        <x:v>Na koniec tury wybrana sojusznicza jednostka otrzymuje Podwójny atak wyłącznie w swojej najbliższej własnej turze; premia nie kumuluje się.</x:v>
      </x:c>
      <x:c r="L63" s="180" t="n">
        <x:v>4.58</x:v>
      </x:c>
      <x:c r="M63" s="180" t="n">
        <x:v>-2.82</x:v>
      </x:c>
      <x:c r="N63" s="180" t="n">
        <x:v>1.8</x:v>
      </x:c>
      <x:c r="O63" t="n">
        <x:v>8</x:v>
      </x:c>
      <x:c r="P63" t="n">
        <x:v>0</x:v>
      </x:c>
      <x:c r="Q63" t="n">
        <x:v>1</x:v>
      </x:c>
      <x:c r="R63" t="n">
        <x:v>0</x:v>
      </x:c>
      <x:c r="S63" s="180" t="n">
        <x:f>H63+'Parametry V13'!$B$5*I63+Q63*Z63*AA63</x:f>
        <x:v>6.36253</x:v>
      </x:c>
      <x:c r="T63" s="180" t="n">
        <x:f>H63+O63+'Parametry V13'!$B$5*(I63+P63)+(Q63+R63)*Z63*AA63</x:f>
        <x:v>14.36253</x:v>
      </x:c>
      <x:c r="U63" s="180" t="n">
        <x:f>S63+T63</x:f>
        <x:v>20.72506</x:v>
      </x:c>
      <x:c r="V63" s="181" t="n">
        <x:f>IFERROR(U63/'Parametry V13'!$B$8-1,0)</x:f>
        <x:v>0.18191989999475333</x:v>
      </x:c>
      <x:c r="W63" t="str">
        <x:f>IF(ABS(M63)&lt;='Parametry V13'!$B$6,"W PASMIE","DO TESTU")</x:f>
        <x:v>W PASMIE</x:v>
      </x:c>
      <x:c r="X63" t="str">
        <x:f>IF(ABS(V63)&lt;='Parametry V13'!$B$7,"W PASMIE","ODCHYLENIE")</x:f>
        <x:v>ODCHYLENIE</x:v>
      </x:c>
      <x:c r="Y63" t="str">
        <x:v>Bez trwałego przekazywania Podwójnego ataku.</x:v>
      </x:c>
      <x:c r="Z63" t="n">
        <x:v>2.55</x:v>
      </x:c>
      <x:c r="AA63" t="n">
        <x:v>1.2206000000000001</x:v>
      </x:c>
      <x:c r="AB63" t="n">
        <x:f>T63-S63</x:f>
        <x:v>8</x:v>
      </x:c>
    </x:row>
    <x:row r="64">
      <x:c r="A64" t="str">
        <x:v>S103</x:v>
      </x:c>
      <x:c r="B64" t="str">
        <x:v>Ludzie</x:v>
      </x:c>
      <x:c r="C64" t="str">
        <x:v>Weteran Odwetu</x:v>
      </x:c>
      <x:c r="D64" t="str">
        <x:v>Pasywna</x:v>
      </x:c>
      <x:c r="E64" t="str">
        <x:v>Obrażenia</x:v>
      </x:c>
      <x:c r="F64" t="n">
        <x:v>2</x:v>
      </x:c>
      <x:c r="G64" t="n">
        <x:v>5</x:v>
      </x:c>
      <x:c r="H64" t="n">
        <x:v>4</x:v>
      </x:c>
      <x:c r="I64" t="n">
        <x:v>5</x:v>
      </x:c>
      <x:c r="J64" t="str">
        <x:v>Każda wroga jednostka, która atakuje tę jednostkę, otrzymuje 1 obrażenie przed standardową walką.</x:v>
      </x:c>
      <x:c r="K64" t="str">
        <x:v>Każda wroga jednostka, która atakuje tę jednostkę, otrzymuje 1 obrażenie przed standardową walką.</x:v>
      </x:c>
      <x:c r="L64" s="180" t="n">
        <x:v>-7.34</x:v>
      </x:c>
      <x:c r="M64" s="180" t="n">
        <x:v>-0.71</x:v>
      </x:c>
      <x:c r="N64" s="180" t="n">
        <x:v>1.8</x:v>
      </x:c>
      <x:c r="O64" t="n">
        <x:v>0</x:v>
      </x:c>
      <x:c r="P64" t="n">
        <x:v>6</x:v>
      </x:c>
      <x:c r="Q64" t="n">
        <x:v>1</x:v>
      </x:c>
      <x:c r="R64" t="n">
        <x:v>1</x:v>
      </x:c>
      <x:c r="S64" s="180" t="n">
        <x:f>H64+'Parametry V13'!$B$5*I64+Q64*Z64*AA64</x:f>
        <x:v>7.577500000000001</x:v>
      </x:c>
      <x:c r="T64" s="180" t="n">
        <x:f>H64+O64+'Parametry V13'!$B$5*(I64+P64)+(Q64+R64)*Z64*AA64</x:f>
        <x:v>11.605</x:v>
      </x:c>
      <x:c r="U64" s="180" t="n">
        <x:f>S64+T64</x:f>
        <x:v>19.1825</x:v>
      </x:c>
      <x:c r="V64" s="181" t="n">
        <x:f>IFERROR(U64/'Parametry V13'!$B$8-1,0)</x:f>
        <x:v>0.09394995631613878</x:v>
      </x:c>
      <x:c r="W64" t="str">
        <x:f>IF(ABS(M64)&lt;='Parametry V13'!$B$6,"W PASMIE","DO TESTU")</x:f>
        <x:v>W PASMIE</x:v>
      </x:c>
      <x:c r="X64" t="str">
        <x:f>IF(ABS(V64)&lt;='Parametry V13'!$B$7,"W PASMIE","ODCHYLENIE")</x:f>
        <x:v>W PASMIE</x:v>
      </x:c>
      <x:c r="Y64" t="str">
        <x:v>Zmieniono statystyki</x:v>
      </x:c>
      <x:c r="Z64" t="n">
        <x:v>1</x:v>
      </x:c>
      <x:c r="AA64" t="n">
        <x:v>1.3275000000000001</x:v>
      </x:c>
      <x:c r="AB64" t="n">
        <x:f>T64-S64</x:f>
        <x:v>4.0275</x:v>
      </x:c>
    </x:row>
    <x:row r="65">
      <x:c r="A65" t="str">
        <x:v>S104</x:v>
      </x:c>
      <x:c r="B65" t="str">
        <x:v>Ludzie</x:v>
      </x:c>
      <x:c r="C65" t="str">
        <x:v>Kapelan Garnizonu</x:v>
      </x:c>
      <x:c r="D65" t="str">
        <x:v>Pasywna</x:v>
      </x:c>
      <x:c r="E65" t="str">
        <x:v>Leczenie</x:v>
      </x:c>
      <x:c r="F65" t="n">
        <x:v>1</x:v>
      </x:c>
      <x:c r="G65" t="n">
        <x:v>6</x:v>
      </x:c>
      <x:c r="H65" t="n">
        <x:v>4</x:v>
      </x:c>
      <x:c r="I65" t="n">
        <x:v>5</x:v>
      </x:c>
      <x:c r="J65" t="str">
        <x:v>Dopóki ta jednostka jest na planszy, każda własna jednostka odzyskuje dodatkowe 1 HP podczas leczenia ze zdolności.</x:v>
      </x:c>
      <x:c r="K65" t="str">
        <x:v>Dopóki ta jednostka jest na planszy, każda własna jednostka odzyskuje dodatkowe 2 HP podczas leczenia ze zdolności.</x:v>
      </x:c>
      <x:c r="L65" s="180" t="n">
        <x:v>-9.78</x:v>
      </x:c>
      <x:c r="M65" s="180" t="n">
        <x:v>-0.36</x:v>
      </x:c>
      <x:c r="N65" s="180" t="n">
        <x:v>1.81</x:v>
      </x:c>
      <x:c r="O65" t="n">
        <x:v>0</x:v>
      </x:c>
      <x:c r="P65" t="n">
        <x:v>6</x:v>
      </x:c>
      <x:c r="Q65" t="n">
        <x:v>1</x:v>
      </x:c>
      <x:c r="R65" t="n">
        <x:v>1</x:v>
      </x:c>
      <x:c r="S65" s="180" t="n">
        <x:f>H65+'Parametry V13'!$B$5*I65+Q65*Z65*AA65</x:f>
        <x:v>6.920032</x:v>
      </x:c>
      <x:c r="T65" s="180" t="n">
        <x:f>H65+O65+'Parametry V13'!$B$5*(I65+P65)+(Q65+R65)*Z65*AA65</x:f>
        <x:v>10.290064</x:v>
      </x:c>
      <x:c r="U65" s="180" t="n">
        <x:f>S65+T65</x:f>
        <x:v>17.210096</x:v>
      </x:c>
      <x:c r="V65" s="181" t="n">
        <x:f>IFERROR(U65/'Parametry V13'!$B$8-1,0)</x:f>
        <x:v>-0.018533362836097744</x:v>
      </x:c>
      <x:c r="W65" t="str">
        <x:f>IF(ABS(M65)&lt;='Parametry V13'!$B$6,"W PASMIE","DO TESTU")</x:f>
        <x:v>W PASMIE</x:v>
      </x:c>
      <x:c r="X65" t="str">
        <x:f>IF(ABS(V65)&lt;='Parametry V13'!$B$7,"W PASMIE","ODCHYLENIE")</x:f>
        <x:v>W PASMIE</x:v>
      </x:c>
      <x:c r="Y65" t="str">
        <x:v>Wzmocnienie słabej wcześniej aury leczenia: +2 zamiast +1.</x:v>
      </x:c>
      <x:c r="Z65" t="n">
        <x:v>0.66</x:v>
      </x:c>
      <x:c r="AA65" t="n">
        <x:v>1.0151999999999999</x:v>
      </x:c>
      <x:c r="AB65" t="n">
        <x:f>T65-S65</x:f>
        <x:v>3.3700319999999993</x:v>
      </x:c>
    </x:row>
    <x:row r="66">
      <x:c r="A66" t="str">
        <x:v>S34</x:v>
      </x:c>
      <x:c r="B66" t="str">
        <x:v>Ludzie</x:v>
      </x:c>
      <x:c r="C66" t="str">
        <x:v>Chorąży Królewskiej Kompanii</x:v>
      </x:c>
      <x:c r="D66" t="str">
        <x:v>Pasywna</x:v>
      </x:c>
      <x:c r="E66" t="str">
        <x:v>ATK ±</x:v>
      </x:c>
      <x:c r="F66" t="n">
        <x:v>1</x:v>
      </x:c>
      <x:c r="G66" t="n">
        <x:v>7</x:v>
      </x:c>
      <x:c r="H66" t="n">
        <x:v>1</x:v>
      </x:c>
      <x:c r="I66" t="n">
        <x:v>6</x:v>
      </x:c>
      <x:c r="J66" t="str">
        <x:v>Wybierz tryb aury przy pojawieniu się na planszy: pozostałe własne jednostki mają +1 ATK ALBO wrogie jednostki mają −1 ATK, dopóki zdolność działa.</x:v>
      </x:c>
      <x:c r="K66" t="str">
        <x:v>Wybierz tryb aury przy wystawieniu: najbliższa inna sojusznicza jednostka (preferuj po prawej, w przeciwnym razie po lewej) ma +1 ATK ALBO wroga jednostka bezpośrednio naprzeciw Chorążego ma −1 ATK. Tryb jest stały do opuszczenia planszy.</x:v>
      </x:c>
      <x:c r="L66" s="180" t="n">
        <x:v>6.96</x:v>
      </x:c>
      <x:c r="M66" s="180" t="n">
        <x:v>1.63</x:v>
      </x:c>
      <x:c r="N66" s="180" t="n">
        <x:v>1.81</x:v>
      </x:c>
      <x:c r="O66" t="n">
        <x:v>6</x:v>
      </x:c>
      <x:c r="P66" t="n">
        <x:v>0</x:v>
      </x:c>
      <x:c r="Q66" t="n">
        <x:v>1</x:v>
      </x:c>
      <x:c r="R66" t="n">
        <x:v>1</x:v>
      </x:c>
      <x:c r="S66" s="180" t="n">
        <x:f>H66+'Parametry V13'!$B$5*I66+Q66*Z66*AA66</x:f>
        <x:v>4.8424</x:v>
      </x:c>
      <x:c r="T66" s="180" t="n">
        <x:f>H66+O66+'Parametry V13'!$B$5*(I66+P66)+(Q66+R66)*Z66*AA66</x:f>
        <x:v>11.9848</x:v>
      </x:c>
      <x:c r="U66" s="180" t="n">
        <x:f>S66+T66</x:f>
        <x:v>16.827199999999998</x:v>
      </x:c>
      <x:c r="V66" s="181" t="n">
        <x:f>IFERROR(U66/'Parametry V13'!$B$8-1,0)</x:f>
        <x:v>-0.04036936244374156</x:v>
      </x:c>
      <x:c r="W66" t="str">
        <x:f>IF(ABS(M66)&lt;='Parametry V13'!$B$6,"W PASMIE","DO TESTU")</x:f>
        <x:v>W PASMIE</x:v>
      </x:c>
      <x:c r="X66" t="str">
        <x:f>IF(ABS(V66)&lt;='Parametry V13'!$B$7,"W PASMIE","ODCHYLENIE")</x:f>
        <x:v>W PASMIE</x:v>
      </x:c>
      <x:c r="Y66" t="str">
        <x:v>Tryby wzajemnie wykluczające się; tylko jeden cel aury.</x:v>
      </x:c>
      <x:c r="Z66" t="n">
        <x:v>1.05</x:v>
      </x:c>
      <x:c r="AA66" t="n">
        <x:v>1.0879999999999999</x:v>
      </x:c>
      <x:c r="AB66" t="n">
        <x:f>T66-S66</x:f>
        <x:v>7.1424</x:v>
      </x:c>
    </x:row>
    <x:row r="67">
      <x:c r="A67" t="str">
        <x:v>S35</x:v>
      </x:c>
      <x:c r="B67" t="str">
        <x:v>Ludzie</x:v>
      </x:c>
      <x:c r="C67" t="str">
        <x:v>Komendant Straży</x:v>
      </x:c>
      <x:c r="D67" t="str">
        <x:v>Pasywna</x:v>
      </x:c>
      <x:c r="E67" t="str">
        <x:v>MAX HP ±</x:v>
      </x:c>
      <x:c r="F67" t="n">
        <x:v>1</x:v>
      </x:c>
      <x:c r="G67" t="n">
        <x:v>7</x:v>
      </x:c>
      <x:c r="H67" t="n">
        <x:v>3</x:v>
      </x:c>
      <x:c r="I67" t="n">
        <x:v>7</x:v>
      </x:c>
      <x:c r="J67" t="str">
        <x:v>Wybierz tryb aury przy pojawieniu się na planszy: pozostałe własne jednostki mają +1 MAX HP i +1 aktualnego HP ALBO wrogie mają −1 MAX HP (aktualne HP ogranicz do maksimum), dopóki zdolność działa.</x:v>
      </x:c>
      <x:c r="K67" t="str">
        <x:v>Wybierz tryb aury przy pojawieniu się na planszy: pozostałe własne jednostki mają +1 MAX HP i +1 aktualnego HP ALBO wrogie mają −1 MAX HP (aktualne HP ogranicz do maksimum), dopóki zdolność działa.</x:v>
      </x:c>
      <x:c r="L67" s="180" t="n">
        <x:v>-8.09</x:v>
      </x:c>
      <x:c r="M67" s="180" t="n">
        <x:v>-1.13</x:v>
      </x:c>
      <x:c r="N67" s="180" t="n">
        <x:v>1.8</x:v>
      </x:c>
      <x:c r="O67" t="n">
        <x:v>0</x:v>
      </x:c>
      <x:c r="P67" t="n">
        <x:v>6</x:v>
      </x:c>
      <x:c r="Q67" t="n">
        <x:v>1</x:v>
      </x:c>
      <x:c r="R67" t="n">
        <x:v>1</x:v>
      </x:c>
      <x:c r="S67" s="180" t="n">
        <x:f>H67+'Parametry V13'!$B$5*I67+Q67*Z67*AA67</x:f>
        <x:v>6.71576</x:v>
      </x:c>
      <x:c r="T67" s="180" t="n">
        <x:f>H67+O67+'Parametry V13'!$B$5*(I67+P67)+(Q67+R67)*Z67*AA67</x:f>
        <x:v>9.981520000000002</x:v>
      </x:c>
      <x:c r="U67" s="180" t="n">
        <x:f>S67+T67</x:f>
        <x:v>16.697280000000003</x:v>
      </x:c>
      <x:c r="V67" s="181" t="n">
        <x:f>IFERROR(U67/'Parametry V13'!$B$8-1,0)</x:f>
        <x:v>-0.047778510277683206</x:v>
      </x:c>
      <x:c r="W67" t="str">
        <x:f>IF(ABS(M67)&lt;='Parametry V13'!$B$6,"W PASMIE","DO TESTU")</x:f>
        <x:v>W PASMIE</x:v>
      </x:c>
      <x:c r="X67" t="str">
        <x:f>IF(ABS(V67)&lt;='Parametry V13'!$B$7,"W PASMIE","ODCHYLENIE")</x:f>
        <x:v>W PASMIE</x:v>
      </x:c>
      <x:c r="Y67" t="str">
        <x:v>Zmieniono statystyki</x:v>
      </x:c>
      <x:c r="Z67" t="n">
        <x:v>0.52</x:v>
      </x:c>
      <x:c r="AA67" t="n">
        <x:v>1.0879999999999999</x:v>
      </x:c>
      <x:c r="AB67" t="n">
        <x:f>T67-S67</x:f>
        <x:v>3.265760000000001</x:v>
      </x:c>
    </x:row>
    <x:row r="68">
      <x:c r="A68" t="str">
        <x:v>S105</x:v>
      </x:c>
      <x:c r="B68" t="str">
        <x:v>Ludzie</x:v>
      </x:c>
      <x:c r="C68" t="str">
        <x:v>Zbrojmistrz Garnizonu</x:v>
      </x:c>
      <x:c r="D68" t="str">
        <x:v>Pasywna</x:v>
      </x:c>
      <x:c r="E68" t="str">
        <x:v>Pancerz</x:v>
      </x:c>
      <x:c r="F68" t="n">
        <x:v>2</x:v>
      </x:c>
      <x:c r="G68" t="n">
        <x:v>7</x:v>
      </x:c>
      <x:c r="H68" t="n">
        <x:v>2</x:v>
      </x:c>
      <x:c r="I68" t="n">
        <x:v>7</x:v>
      </x:c>
      <x:c r="J68" t="str">
        <x:v>Dopóki ta zdolność działa, pozostałe sojusznicze jednostki mają po 2 tymczasowego pancerza ze źródła tej aury; wygaśnięcie aury usuwa tę ochronę.</x:v>
      </x:c>
      <x:c r="K68" t="str">
        <x:v>Dopóki ta zdolność działa, pozostałe sojusznicze jednostki mają po 2 tymczasowego pancerza ze źródła tej aury; wygaśnięcie aury usuwa tę ochronę.</x:v>
      </x:c>
      <x:c r="L68" s="180" t="n">
        <x:v>0.65</x:v>
      </x:c>
      <x:c r="M68" s="180" t="n">
        <x:v>-1.01</x:v>
      </x:c>
      <x:c r="N68" s="180" t="n">
        <x:v>1.8</x:v>
      </x:c>
      <x:c r="O68" t="n">
        <x:v>0</x:v>
      </x:c>
      <x:c r="P68" t="n">
        <x:v>6</x:v>
      </x:c>
      <x:c r="Q68" t="n">
        <x:v>2</x:v>
      </x:c>
      <x:c r="R68" t="n">
        <x:v>1</x:v>
      </x:c>
      <x:c r="S68" s="180" t="n">
        <x:f>H68+'Parametry V13'!$B$5*I68+Q68*Z68*AA68</x:f>
        <x:v>6.253520000000001</x:v>
      </x:c>
      <x:c r="T68" s="180" t="n">
        <x:f>H68+O68+'Parametry V13'!$B$5*(I68+P68)+(Q68+R68)*Z68*AA68</x:f>
        <x:v>9.50528</x:v>
      </x:c>
      <x:c r="U68" s="180" t="n">
        <x:f>S68+T68</x:f>
        <x:v>15.7588</x:v>
      </x:c>
      <x:c r="V68" s="181" t="n">
        <x:f>IFERROR(U68/'Parametry V13'!$B$8-1,0)</x:f>
        <x:v>-0.1012986538983569</x:v>
      </x:c>
      <x:c r="W68" t="str">
        <x:f>IF(ABS(M68)&lt;='Parametry V13'!$B$6,"W PASMIE","DO TESTU")</x:f>
        <x:v>W PASMIE</x:v>
      </x:c>
      <x:c r="X68" t="str">
        <x:f>IF(ABS(V68)&lt;='Parametry V13'!$B$7,"W PASMIE","ODCHYLENIE")</x:f>
        <x:v>W PASMIE</x:v>
      </x:c>
      <x:c r="Y68" t="str">
        <x:v>Bez korekty statystyk</x:v>
      </x:c>
      <x:c r="Z68" t="n">
        <x:v>0.55</x:v>
      </x:c>
      <x:c r="AA68" t="n">
        <x:v>1.0032</x:v>
      </x:c>
      <x:c r="AB68" t="n">
        <x:f>T68-S68</x:f>
        <x:v>3.25176</x:v>
      </x:c>
    </x:row>
    <x:row r="69">
      <x:c r="A69" t="str">
        <x:v>S106</x:v>
      </x:c>
      <x:c r="B69" t="str">
        <x:v>Ludzie</x:v>
      </x:c>
      <x:c r="C69" t="str">
        <x:v>Chorąży z Pawężą</x:v>
      </x:c>
      <x:c r="D69" t="str">
        <x:v>Pasywna</x:v>
      </x:c>
      <x:c r="E69" t="str">
        <x:v>Tarcza</x:v>
      </x:c>
      <x:c r="F69" t="n">
        <x:v>1</x:v>
      </x:c>
      <x:c r="G69" t="n">
        <x:v>6</x:v>
      </x:c>
      <x:c r="H69" t="n">
        <x:v>3</x:v>
      </x:c>
      <x:c r="I69" t="n">
        <x:v>7</x:v>
      </x:c>
      <x:c r="J69" t="str">
        <x:v>Dopóki ta zdolność działa, ta jednostka ma tarczę. Tarcza z aury nie odnawia się po zużyciu podczas tego wystawienia.</x:v>
      </x:c>
      <x:c r="K69" t="str">
        <x:v>Dopóki ta zdolność działa, ta jednostka ma tarczę. Tarcza z aury nie odnawia się po zużyciu podczas tego wystawienia.</x:v>
      </x:c>
      <x:c r="L69" s="180" t="n">
        <x:v>-10.37</x:v>
      </x:c>
      <x:c r="M69" s="180" t="n">
        <x:v>-1.7</x:v>
      </x:c>
      <x:c r="N69" s="180" t="n">
        <x:v>1.8</x:v>
      </x:c>
      <x:c r="O69" t="n">
        <x:v>0</x:v>
      </x:c>
      <x:c r="P69" t="n">
        <x:v>9</x:v>
      </x:c>
      <x:c r="Q69" t="n">
        <x:v>1</x:v>
      </x:c>
      <x:c r="R69" t="n">
        <x:v>0</x:v>
      </x:c>
      <x:c r="S69" s="180" t="n">
        <x:f>H69+'Parametry V13'!$B$5*I69+Q69*Z69*AA69</x:f>
        <x:v>7.79351</x:v>
      </x:c>
      <x:c r="T69" s="180" t="n">
        <x:f>H69+O69+'Parametry V13'!$B$5*(I69+P69)+(Q69+R69)*Z69*AA69</x:f>
        <x:v>11.843509999999998</x:v>
      </x:c>
      <x:c r="U69" s="180" t="n">
        <x:f>S69+T69</x:f>
        <x:v>19.63702</x:v>
      </x:c>
      <x:c r="V69" s="181" t="n">
        <x:f>IFERROR(U69/'Parametry V13'!$B$8-1,0)</x:f>
        <x:v>0.1198705680270633</x:v>
      </x:c>
      <x:c r="W69" t="str">
        <x:f>IF(ABS(M69)&lt;='Parametry V13'!$B$6,"W PASMIE","DO TESTU")</x:f>
        <x:v>W PASMIE</x:v>
      </x:c>
      <x:c r="X69" t="str">
        <x:f>IF(ABS(V69)&lt;='Parametry V13'!$B$7,"W PASMIE","ODCHYLENIE")</x:f>
        <x:v>W PASMIE</x:v>
      </x:c>
      <x:c r="Y69" t="str">
        <x:v>Zmieniono statystyki</x:v>
      </x:c>
      <x:c r="Z69" t="n">
        <x:v>2.2</x:v>
      </x:c>
      <x:c r="AA69" t="n">
        <x:v>0.74705</x:v>
      </x:c>
      <x:c r="AB69" t="n">
        <x:f>T69-S69</x:f>
        <x:v>4.049999999999998</x:v>
      </x:c>
    </x:row>
    <x:row r="70">
      <x:c r="A70" t="str">
        <x:v>S107</x:v>
      </x:c>
      <x:c r="B70" t="str">
        <x:v>Ludzie</x:v>
      </x:c>
      <x:c r="C70" t="str">
        <x:v>Chemik Wojskowy</x:v>
      </x:c>
      <x:c r="D70" t="str">
        <x:v>Pasywna</x:v>
      </x:c>
      <x:c r="E70" t="str">
        <x:v>Trucizna</x:v>
      </x:c>
      <x:c r="F70" t="n">
        <x:v>1</x:v>
      </x:c>
      <x:c r="G70" t="n">
        <x:v>5</x:v>
      </x:c>
      <x:c r="H70" t="n">
        <x:v>2</x:v>
      </x:c>
      <x:c r="I70" t="n">
        <x:v>6</x:v>
      </x:c>
      <x:c r="J70" t="str">
        <x:v>Gdy wroga jednostka zadaje tej jednostce standardowe obrażenia w walce, otrzymuje truciznę: 1 obrażenie przez 2 własne tury.</x:v>
      </x:c>
      <x:c r="K70" t="str">
        <x:v>Gdy wroga jednostka zadaje tej jednostce standardowe obrażenia w walce, otrzymuje truciznę: 1 obrażenie przez 2 własne tury.</x:v>
      </x:c>
      <x:c r="L70" s="180" t="n">
        <x:v>0.84</x:v>
      </x:c>
      <x:c r="M70" s="180" t="n">
        <x:v>2.21</x:v>
      </x:c>
      <x:c r="N70" s="180" t="n">
        <x:v>1.81</x:v>
      </x:c>
      <x:c r="O70" t="n">
        <x:v>6</x:v>
      </x:c>
      <x:c r="P70" t="n">
        <x:v>0</x:v>
      </x:c>
      <x:c r="Q70" t="n">
        <x:v>2</x:v>
      </x:c>
      <x:c r="R70" t="n">
        <x:v>1</x:v>
      </x:c>
      <x:c r="S70" s="180" t="n">
        <x:f>H70+'Parametry V13'!$B$5*I70+Q70*Z70*AA70</x:f>
        <x:v>6.13208</x:v>
      </x:c>
      <x:c r="T70" s="180" t="n">
        <x:f>H70+O70+'Parametry V13'!$B$5*(I70+P70)+(Q70+R70)*Z70*AA70</x:f>
        <x:v>12.848119999999998</x:v>
      </x:c>
      <x:c r="U70" s="180" t="n">
        <x:f>S70+T70</x:f>
        <x:v>18.980199999999996</x:v>
      </x:c>
      <x:c r="V70" s="181" t="n">
        <x:f>IFERROR(U70/'Parametry V13'!$B$8-1,0)</x:f>
        <x:v>0.08241308280315773</x:v>
      </x:c>
      <x:c r="W70" t="str">
        <x:f>IF(ABS(M70)&lt;='Parametry V13'!$B$6,"W PASMIE","DO TESTU")</x:f>
        <x:v>W PASMIE</x:v>
      </x:c>
      <x:c r="X70" t="str">
        <x:f>IF(ABS(V70)&lt;='Parametry V13'!$B$7,"W PASMIE","ODCHYLENIE")</x:f>
        <x:v>W PASMIE</x:v>
      </x:c>
      <x:c r="Y70" t="str">
        <x:v>Zmieniono statystyki</x:v>
      </x:c>
      <x:c r="Z70" t="n">
        <x:v>0.78</x:v>
      </x:c>
      <x:c r="AA70" t="n">
        <x:v>0.9179999999999999</x:v>
      </x:c>
      <x:c r="AB70" t="n">
        <x:f>T70-S70</x:f>
        <x:v>6.716039999999998</x:v>
      </x:c>
    </x:row>
    <x:row r="71">
      <x:c r="A71" t="str">
        <x:v>S108</x:v>
      </x:c>
      <x:c r="B71" t="str">
        <x:v>Ludzie</x:v>
      </x:c>
      <x:c r="C71" t="str">
        <x:v>Królewski Trębacz</x:v>
      </x:c>
      <x:c r="D71" t="str">
        <x:v>Pasywna</x:v>
      </x:c>
      <x:c r="E71" t="str">
        <x:v>Ogłuszenie</x:v>
      </x:c>
      <x:c r="F71" t="n">
        <x:v>1</x:v>
      </x:c>
      <x:c r="G71" t="n">
        <x:v>6</x:v>
      </x:c>
      <x:c r="H71" t="n">
        <x:v>1</x:v>
      </x:c>
      <x:c r="I71" t="n">
        <x:v>6</x:v>
      </x:c>
      <x:c r="J71" t="str">
        <x:v>Dopóki ta zdolność działa, wroga jednostka bezpośrednio naprzeciw tej jednostki pozostaje ogłuszona.</x:v>
      </x:c>
      <x:c r="K71" t="str">
        <x:v>Gdy wroga jednostka po raz pierwszy znajdzie się naprzeciw Trębacza, jest ogłuszona na 1 własną turę. Ta sama jednostka nie może być ogłuszona ponownie przez Trębacza podczas jego bieżącego wystawienia.</x:v>
      </x:c>
      <x:c r="L71" s="180" t="n">
        <x:v>0.8</x:v>
      </x:c>
      <x:c r="M71" s="180" t="n">
        <x:v>0.08</x:v>
      </x:c>
      <x:c r="N71" s="180" t="n">
        <x:v>1.8</x:v>
      </x:c>
      <x:c r="O71" t="n">
        <x:v>3</x:v>
      </x:c>
      <x:c r="P71" t="n">
        <x:v>3</x:v>
      </x:c>
      <x:c r="Q71" t="n">
        <x:v>1</x:v>
      </x:c>
      <x:c r="R71" t="n">
        <x:v>1</x:v>
      </x:c>
      <x:c r="S71" s="180" t="n">
        <x:f>H71+'Parametry V13'!$B$5*I71+Q71*Z71*AA71</x:f>
        <x:v>5.9607</x:v>
      </x:c>
      <x:c r="T71" s="180" t="n">
        <x:f>H71+O71+'Parametry V13'!$B$5*(I71+P71)+(Q71+R71)*Z71*AA71</x:f>
        <x:v>12.5714</x:v>
      </x:c>
      <x:c r="U71" s="180" t="n">
        <x:f>S71+T71</x:f>
        <x:v>18.5321</x:v>
      </x:c>
      <x:c r="V71" s="181" t="n">
        <x:f>IFERROR(U71/'Parametry V13'!$B$8-1,0)</x:f>
        <x:v>0.05685859431493889</x:v>
      </x:c>
      <x:c r="W71" t="str">
        <x:f>IF(ABS(M71)&lt;='Parametry V13'!$B$6,"W PASMIE","DO TESTU")</x:f>
        <x:v>W PASMIE</x:v>
      </x:c>
      <x:c r="X71" t="str">
        <x:f>IF(ABS(V71)&lt;='Parametry V13'!$B$7,"W PASMIE","ODCHYLENIE")</x:f>
        <x:v>W PASMIE</x:v>
      </x:c>
      <x:c r="Y71" t="str">
        <x:v>Pasywne ogłuszenie tylko raz na dany cel podczas wystawienia.</x:v>
      </x:c>
      <x:c r="Z71" t="n">
        <x:v>2.35</x:v>
      </x:c>
      <x:c r="AA71" t="n">
        <x:v>0.962</x:v>
      </x:c>
      <x:c r="AB71" t="n">
        <x:f>T71-S71</x:f>
        <x:v>6.6107000000000005</x:v>
      </x:c>
    </x:row>
    <x:row r="72">
      <x:c r="A72" t="str">
        <x:v>S109</x:v>
      </x:c>
      <x:c r="B72" t="str">
        <x:v>Ludzie</x:v>
      </x:c>
      <x:c r="C72" t="str">
        <x:v>Kapelan Odnowy</x:v>
      </x:c>
      <x:c r="D72" t="str">
        <x:v>Pasywna</x:v>
      </x:c>
      <x:c r="E72" t="str">
        <x:v>Regeneracja</x:v>
      </x:c>
      <x:c r="F72" t="n">
        <x:v>1</x:v>
      </x:c>
      <x:c r="G72" t="n">
        <x:v>6</x:v>
      </x:c>
      <x:c r="H72" t="n">
        <x:v>2</x:v>
      </x:c>
      <x:c r="I72" t="n">
        <x:v>7</x:v>
      </x:c>
      <x:c r="J72" t="str">
        <x:v>Ta jednostka ma regenerację 1 HP na koniec każdej własnej tury, dopóki działa ta zdolność.</x:v>
      </x:c>
      <x:c r="K72" t="str">
        <x:v>Ta jednostka ma regenerację 2 HP na koniec każdej własnej tury, dopóki działa ta zdolność.</x:v>
      </x:c>
      <x:c r="L72" s="180" t="n">
        <x:v>-2.65</x:v>
      </x:c>
      <x:c r="M72" s="180" t="n">
        <x:v>2.53</x:v>
      </x:c>
      <x:c r="N72" s="180" t="n">
        <x:v>1.81</x:v>
      </x:c>
      <x:c r="O72" t="n">
        <x:v>0</x:v>
      </x:c>
      <x:c r="P72" t="n">
        <x:v>6</x:v>
      </x:c>
      <x:c r="Q72" t="n">
        <x:v>1</x:v>
      </x:c>
      <x:c r="R72" t="n">
        <x:v>1</x:v>
      </x:c>
      <x:c r="S72" s="180" t="n">
        <x:f>H72+'Parametry V13'!$B$5*I72+Q72*Z72*AA72</x:f>
        <x:v>5.489603000000001</x:v>
      </x:c>
      <x:c r="T72" s="180" t="n">
        <x:f>H72+O72+'Parametry V13'!$B$5*(I72+P72)+(Q72+R72)*Z72*AA72</x:f>
        <x:v>8.529206</x:v>
      </x:c>
      <x:c r="U72" s="180" t="n">
        <x:f>S72+T72</x:f>
        <x:v>14.018809000000001</x:v>
      </x:c>
      <x:c r="V72" s="181" t="n">
        <x:f>IFERROR(U72/'Parametry V13'!$B$8-1,0)</x:f>
        <x:v>-0.20052779913179752</x:v>
      </x:c>
      <x:c r="W72" t="str">
        <x:f>IF(ABS(M72)&lt;='Parametry V13'!$B$6,"W PASMIE","DO TESTU")</x:f>
        <x:v>W PASMIE</x:v>
      </x:c>
      <x:c r="X72" t="str">
        <x:f>IF(ABS(V72)&lt;='Parametry V13'!$B$7,"W PASMIE","ODCHYLENIE")</x:f>
        <x:v>ODCHYLENIE</x:v>
      </x:c>
      <x:c r="Y72" t="str">
        <x:v>Wzmocnienie samoregeneracji: 2 HP zamiast 1 HP.</x:v>
      </x:c>
      <x:c r="Z72" t="n">
        <x:v>0.41</x:v>
      </x:c>
      <x:c r="AA72" t="n">
        <x:v>0.8282999999999999</x:v>
      </x:c>
      <x:c r="AB72" t="n">
        <x:f>T72-S72</x:f>
        <x:v>3.0396029999999996</x:v>
      </x:c>
    </x:row>
    <x:row r="73">
      <x:c r="A73" t="str">
        <x:v>S33</x:v>
      </x:c>
      <x:c r="B73" t="str">
        <x:v>Ludzie</x:v>
      </x:c>
      <x:c r="C73" t="str">
        <x:v>Strażnik Bram</x:v>
      </x:c>
      <x:c r="D73" t="str">
        <x:v>Pasywna</x:v>
      </x:c>
      <x:c r="E73" t="str">
        <x:v>Prowokacja</x:v>
      </x:c>
      <x:c r="F73" t="n">
        <x:v>1</x:v>
      </x:c>
      <x:c r="G73" t="n">
        <x:v>9</x:v>
      </x:c>
      <x:c r="H73" t="n">
        <x:v>2</x:v>
      </x:c>
      <x:c r="I73" t="n">
        <x:v>8</x:v>
      </x:c>
      <x:c r="J73" t="str">
        <x:v>Ta jednostka posiada prowokację; wrogie jednostki muszą atakować cele z prowokacją.</x:v>
      </x:c>
      <x:c r="K73" t="str">
        <x:v>Ta jednostka posiada prowokację; wrogie jednostki muszą atakować cele z prowokacją.</x:v>
      </x:c>
      <x:c r="L73" s="180" t="n">
        <x:v>-2.93</x:v>
      </x:c>
      <x:c r="M73" s="180" t="n">
        <x:v>2.01</x:v>
      </x:c>
      <x:c r="N73" s="180" t="n">
        <x:v>1.81</x:v>
      </x:c>
      <x:c r="O73" t="n">
        <x:v>0</x:v>
      </x:c>
      <x:c r="P73" t="n">
        <x:v>9</x:v>
      </x:c>
      <x:c r="Q73" t="n">
        <x:v>1</x:v>
      </x:c>
      <x:c r="R73" t="n">
        <x:v>0</x:v>
      </x:c>
      <x:c r="S73" s="180" t="n">
        <x:f>H73+'Parametry V13'!$B$5*I73+Q73*Z73*AA73</x:f>
        <x:v>6.73288</x:v>
      </x:c>
      <x:c r="T73" s="180" t="n">
        <x:f>H73+O73+'Parametry V13'!$B$5*(I73+P73)+(Q73+R73)*Z73*AA73</x:f>
        <x:v>10.78288</x:v>
      </x:c>
      <x:c r="U73" s="180" t="n">
        <x:f>S73+T73</x:f>
        <x:v>17.51576</x:v>
      </x:c>
      <x:c r="V73" s="181" t="n">
        <x:f>IFERROR(U73/'Parametry V13'!$B$8-1,0)</x:f>
        <x:v>-0.0011017913804785007</x:v>
      </x:c>
      <x:c r="W73" t="str">
        <x:f>IF(ABS(M73)&lt;='Parametry V13'!$B$6,"W PASMIE","DO TESTU")</x:f>
        <x:v>W PASMIE</x:v>
      </x:c>
      <x:c r="X73" t="str">
        <x:f>IF(ABS(V73)&lt;='Parametry V13'!$B$7,"W PASMIE","ODCHYLENIE")</x:f>
        <x:v>W PASMIE</x:v>
      </x:c>
      <x:c r="Y73" t="str">
        <x:v>Zmieniono statystyki</x:v>
      </x:c>
      <x:c r="Z73" t="n">
        <x:v>1.4</x:v>
      </x:c>
      <x:c r="AA73" t="n">
        <x:v>0.8092</x:v>
      </x:c>
      <x:c r="AB73" t="n">
        <x:f>T73-S73</x:f>
        <x:v>4.050000000000001</x:v>
      </x:c>
    </x:row>
    <x:row r="74">
      <x:c r="A74" t="str">
        <x:v>S111</x:v>
      </x:c>
      <x:c r="B74" t="str">
        <x:v>Ludzie</x:v>
      </x:c>
      <x:c r="C74" t="str">
        <x:v>Chirurg Frontowy</x:v>
      </x:c>
      <x:c r="D74" t="str">
        <x:v>Pasywna</x:v>
      </x:c>
      <x:c r="E74" t="str">
        <x:v>Oczyszczanie</x:v>
      </x:c>
      <x:c r="F74" t="n">
        <x:v>1</x:v>
      </x:c>
      <x:c r="G74" t="n">
        <x:v>6</x:v>
      </x:c>
      <x:c r="H74" t="n">
        <x:v>2</x:v>
      </x:c>
      <x:c r="I74" t="n">
        <x:v>7</x:v>
      </x:c>
      <x:c r="J74" t="str">
        <x:v>Dopóki ta zdolność działa, tymczasowe negatywne efekty nakładane na tę jednostkę są natychmiast usuwane.</x:v>
      </x:c>
      <x:c r="K74" t="str">
        <x:v>Dopóki ta zdolność działa, tymczasowe negatywne efekty nakładane na tę jednostkę są natychmiast usuwane.</x:v>
      </x:c>
      <x:c r="L74" s="180" t="n">
        <x:v>0.22</x:v>
      </x:c>
      <x:c r="M74" s="180" t="n">
        <x:v>3.59</x:v>
      </x:c>
      <x:c r="N74" s="180" t="n">
        <x:v>1.81</x:v>
      </x:c>
      <x:c r="O74" t="n">
        <x:v>3</x:v>
      </x:c>
      <x:c r="P74" t="n">
        <x:v>3</x:v>
      </x:c>
      <x:c r="Q74" t="n">
        <x:v>1</x:v>
      </x:c>
      <x:c r="R74" t="n">
        <x:v>1</x:v>
      </x:c>
      <x:c r="S74" s="180" t="n">
        <x:f>H74+'Parametry V13'!$B$5*I74+Q74*Z74*AA74</x:f>
        <x:v>6.004437500000001</x:v>
      </x:c>
      <x:c r="T74" s="180" t="n">
        <x:f>H74+O74+'Parametry V13'!$B$5*(I74+P74)+(Q74+R74)*Z74*AA74</x:f>
        <x:v>11.208875</x:v>
      </x:c>
      <x:c r="U74" s="180" t="n">
        <x:f>S74+T74</x:f>
        <x:v>17.2133125</x:v>
      </x:c>
      <x:c r="V74" s="181" t="n">
        <x:f>IFERROR(U74/'Parametry V13'!$B$8-1,0)</x:f>
        <x:v>-0.018349930539239057</x:v>
      </x:c>
      <x:c r="W74" t="str">
        <x:f>IF(ABS(M74)&lt;='Parametry V13'!$B$6,"W PASMIE","DO TESTU")</x:f>
        <x:v>W PASMIE</x:v>
      </x:c>
      <x:c r="X74" t="str">
        <x:f>IF(ABS(V74)&lt;='Parametry V13'!$B$7,"W PASMIE","ODCHYLENIE")</x:f>
        <x:v>W PASMIE</x:v>
      </x:c>
      <x:c r="Y74" t="str">
        <x:v>Zmieniono statystyki</x:v>
      </x:c>
      <x:c r="Z74" t="n">
        <x:v>1.55</x:v>
      </x:c>
      <x:c r="AA74" t="n">
        <x:v>0.55125</x:v>
      </x:c>
      <x:c r="AB74" t="n">
        <x:f>T74-S74</x:f>
        <x:v>5.2044375</x:v>
      </x:c>
    </x:row>
    <x:row r="75">
      <x:c r="A75" t="str">
        <x:v>S39</x:v>
      </x:c>
      <x:c r="B75" t="str">
        <x:v>Ludzie</x:v>
      </x:c>
      <x:c r="C75" t="str">
        <x:v>Alchemik Antytoksyk</x:v>
      </x:c>
      <x:c r="D75" t="str">
        <x:v>Pasywna</x:v>
      </x:c>
      <x:c r="E75" t="str">
        <x:v>Odporność</x:v>
      </x:c>
      <x:c r="F75" t="n">
        <x:v>2</x:v>
      </x:c>
      <x:c r="G75" t="n">
        <x:v>7</x:v>
      </x:c>
      <x:c r="H75" t="n">
        <x:v>4</x:v>
      </x:c>
      <x:c r="I75" t="n">
        <x:v>7</x:v>
      </x:c>
      <x:c r="J75" t="str">
        <x:v>Ta jednostka jest odporna na truciznę; istniejące trucizny zostają usunięte.</x:v>
      </x:c>
      <x:c r="K75" t="str">
        <x:v>Ta jednostka jest odporna na truciznę; istniejące trucizny zostają usunięte.</x:v>
      </x:c>
      <x:c r="L75" s="180" t="n">
        <x:v>-5.02</x:v>
      </x:c>
      <x:c r="M75" s="180" t="n">
        <x:v>3.95</x:v>
      </x:c>
      <x:c r="N75" s="180" t="n">
        <x:v>1.8</x:v>
      </x:c>
      <x:c r="O75" t="n">
        <x:v>0</x:v>
      </x:c>
      <x:c r="P75" t="n">
        <x:v>6</x:v>
      </x:c>
      <x:c r="Q75" t="n">
        <x:v>1</x:v>
      </x:c>
      <x:c r="R75" t="n">
        <x:v>1</x:v>
      </x:c>
      <x:c r="S75" s="180" t="n">
        <x:f>H75+'Parametry V13'!$B$5*I75+Q75*Z75*AA75</x:f>
        <x:v>7.9354000000000005</x:v>
      </x:c>
      <x:c r="T75" s="180" t="n">
        <x:f>H75+O75+'Parametry V13'!$B$5*(I75+P75)+(Q75+R75)*Z75*AA75</x:f>
        <x:v>11.420800000000002</x:v>
      </x:c>
      <x:c r="U75" s="180" t="n">
        <x:f>S75+T75</x:f>
        <x:v>19.3562</x:v>
      </x:c>
      <x:c r="V75" s="181" t="n">
        <x:f>IFERROR(U75/'Parametry V13'!$B$8-1,0)</x:f>
        <x:v>0.1038558136033596</x:v>
      </x:c>
      <x:c r="W75" t="str">
        <x:f>IF(ABS(M75)&lt;='Parametry V13'!$B$6,"W PASMIE","DO TESTU")</x:f>
        <x:v>W PASMIE</x:v>
      </x:c>
      <x:c r="X75" t="str">
        <x:f>IF(ABS(V75)&lt;='Parametry V13'!$B$7,"W PASMIE","ODCHYLENIE")</x:f>
        <x:v>W PASMIE</x:v>
      </x:c>
      <x:c r="Y75" t="str">
        <x:v>Zmieniono statystyki</x:v>
      </x:c>
      <x:c r="Z75" t="n">
        <x:v>1.2</x:v>
      </x:c>
      <x:c r="AA75" t="n">
        <x:v>0.6545</x:v>
      </x:c>
      <x:c r="AB75" t="n">
        <x:f>T75-S75</x:f>
        <x:v>3.485400000000001</x:v>
      </x:c>
    </x:row>
    <x:row r="76">
      <x:c r="A76" t="str">
        <x:v>S114</x:v>
      </x:c>
      <x:c r="B76" t="str">
        <x:v>Ludzie</x:v>
      </x:c>
      <x:c r="C76" t="str">
        <x:v>Instruktor Błyskawicznego Natarcia</x:v>
      </x:c>
      <x:c r="D76" t="str">
        <x:v>Pasywna</x:v>
      </x:c>
      <x:c r="E76" t="str">
        <x:v>Szybki atak</x:v>
      </x:c>
      <x:c r="F76" t="n">
        <x:v>3</x:v>
      </x:c>
      <x:c r="G76" t="n">
        <x:v>4</x:v>
      </x:c>
      <x:c r="H76" t="n">
        <x:v>1</x:v>
      </x:c>
      <x:c r="I76" t="n">
        <x:v>4</x:v>
      </x:c>
      <x:c r="J76" t="str">
        <x:v>Ta jednostka ma Szybki atak: może atakować od razu po wystawieniu, dopóki zdolność działa.</x:v>
      </x:c>
      <x:c r="K76" t="str">
        <x:v>Ta jednostka ma Szybki atak: może atakować od razu po wystawieniu, dopóki zdolność działa.</x:v>
      </x:c>
      <x:c r="L76" s="180" t="n">
        <x:v>8.83</x:v>
      </x:c>
      <x:c r="M76" s="180" t="n">
        <x:v>-0.75</x:v>
      </x:c>
      <x:c r="N76" s="180" t="n">
        <x:v>1.8</x:v>
      </x:c>
      <x:c r="O76" t="n">
        <x:v>8</x:v>
      </x:c>
      <x:c r="P76" t="n">
        <x:v>1</x:v>
      </x:c>
      <x:c r="Q76" t="n">
        <x:v>1</x:v>
      </x:c>
      <x:c r="R76" t="n">
        <x:v>0</x:v>
      </x:c>
      <x:c r="S76" s="180" t="n">
        <x:f>H76+'Parametry V13'!$B$5*I76+Q76*Z76*AA76</x:f>
        <x:v>4.03714</x:v>
      </x:c>
      <x:c r="T76" s="180" t="n">
        <x:f>H76+O76+'Parametry V13'!$B$5*(I76+P76)+(Q76+R76)*Z76*AA76</x:f>
        <x:v>12.48714</x:v>
      </x:c>
      <x:c r="U76" s="180" t="n">
        <x:f>S76+T76</x:f>
        <x:v>16.52428</x:v>
      </x:c>
      <x:c r="V76" s="181" t="n">
        <x:f>IFERROR(U76/'Parametry V13'!$B$8-1,0)</x:f>
        <x:v>-0.057644447587350545</x:v>
      </x:c>
      <x:c r="W76" t="str">
        <x:f>IF(ABS(M76)&lt;='Parametry V13'!$B$6,"W PASMIE","DO TESTU")</x:f>
        <x:v>W PASMIE</x:v>
      </x:c>
      <x:c r="X76" t="str">
        <x:f>IF(ABS(V76)&lt;='Parametry V13'!$B$7,"W PASMIE","ODCHYLENIE")</x:f>
        <x:v>W PASMIE</x:v>
      </x:c>
      <x:c r="Y76" t="str">
        <x:v>Zmieniono statystyki</x:v>
      </x:c>
      <x:c r="Z76" t="n">
        <x:v>1.8</x:v>
      </x:c>
      <x:c r="AA76" t="n">
        <x:v>0.6873</x:v>
      </x:c>
      <x:c r="AB76" t="n">
        <x:f>T76-S76</x:f>
        <x:v>8.45</x:v>
      </x:c>
    </x:row>
    <x:row r="77">
      <x:c r="A77" t="str">
        <x:v>S115</x:v>
      </x:c>
      <x:c r="B77" t="str">
        <x:v>Ludzie</x:v>
      </x:c>
      <x:c r="C77" t="str">
        <x:v>Mistrz Dwóch Ostrzy</x:v>
      </x:c>
      <x:c r="D77" t="str">
        <x:v>Pasywna</x:v>
      </x:c>
      <x:c r="E77" t="str">
        <x:v>Podwójny atak</x:v>
      </x:c>
      <x:c r="F77" t="n">
        <x:v>2</x:v>
      </x:c>
      <x:c r="G77" t="n">
        <x:v>5</x:v>
      </x:c>
      <x:c r="H77" t="n">
        <x:v>1</x:v>
      </x:c>
      <x:c r="I77" t="n">
        <x:v>5</x:v>
      </x:c>
      <x:c r="J77" t="str">
        <x:v>Ta jednostka ma Podwójny atak: może atakować dwa razy w każdej własnej turze, dopóki działa zdolność.</x:v>
      </x:c>
      <x:c r="K77" t="str">
        <x:v>Ta jednostka ma Podwójny atak: może atakować dwa razy w każdej własnej turze, dopóki działa zdolność.</x:v>
      </x:c>
      <x:c r="L77" s="180" t="n">
        <x:v>6.45</x:v>
      </x:c>
      <x:c r="M77" s="180" t="n">
        <x:v>-0.57</x:v>
      </x:c>
      <x:c r="N77" s="180" t="n">
        <x:v>1.81</x:v>
      </x:c>
      <x:c r="O77" t="n">
        <x:v>8</x:v>
      </x:c>
      <x:c r="P77" t="n">
        <x:v>0</x:v>
      </x:c>
      <x:c r="Q77" t="n">
        <x:v>1</x:v>
      </x:c>
      <x:c r="R77" t="n">
        <x:v>0</x:v>
      </x:c>
      <x:c r="S77" s="180" t="n">
        <x:f>H77+'Parametry V13'!$B$5*I77+Q77*Z77*AA77</x:f>
        <x:v>5.44351</x:v>
      </x:c>
      <x:c r="T77" s="180" t="n">
        <x:f>H77+O77+'Parametry V13'!$B$5*(I77+P77)+(Q77+R77)*Z77*AA77</x:f>
        <x:v>13.44351</x:v>
      </x:c>
      <x:c r="U77" s="180" t="n">
        <x:f>S77+T77</x:f>
        <x:v>18.88702</x:v>
      </x:c>
      <x:c r="V77" s="181" t="n">
        <x:f>IFERROR(U77/'Parametry V13'!$B$8-1,0)</x:f>
        <x:v>0.0770991635053846</x:v>
      </x:c>
      <x:c r="W77" t="str">
        <x:f>IF(ABS(M77)&lt;='Parametry V13'!$B$6,"W PASMIE","DO TESTU")</x:f>
        <x:v>W PASMIE</x:v>
      </x:c>
      <x:c r="X77" t="str">
        <x:f>IF(ABS(V77)&lt;='Parametry V13'!$B$7,"W PASMIE","ODCHYLENIE")</x:f>
        <x:v>W PASMIE</x:v>
      </x:c>
      <x:c r="Y77" t="str">
        <x:v>Zmieniono statystyki</x:v>
      </x:c>
      <x:c r="Z77" t="n">
        <x:v>2.55</x:v>
      </x:c>
      <x:c r="AA77" t="n">
        <x:v>0.8602000000000002</x:v>
      </x:c>
      <x:c r="AB77" t="n">
        <x:f>T77-S77</x:f>
        <x:v>8</x:v>
      </x:c>
    </x:row>
  </x:sheetData>
  <x:mergeCells>
    <x:mergeCell ref="A1:AB1"/>
  </x:mergeCells>
  <x:conditionalFormatting sqref="L8:M77">
    <x:cfRule type="colorScale" priority="1">
      <x:colorScale>
        <x:cfvo type="min"/>
        <x:cfvo type="percentile" val="50"/>
        <x:cfvo type="max"/>
        <x:color rgb="FFFEE2E2"/>
        <x:color rgb="FFFFFFFF"/>
        <x:color rgb="FFC5ECE4"/>
      </x:colorScale>
    </x:cfRule>
  </x:conditionalFormatting>
  <x:conditionalFormatting sqref="V8:V77">
    <x:cfRule type="colorScale" priority="2">
      <x:colorScale>
        <x:cfvo type="min"/>
        <x:cfvo type="percentile" val="50"/>
        <x:cfvo type="max"/>
        <x:color rgb="FFFEE2E2"/>
        <x:color rgb="FFFFFFFF"/>
        <x:color rgb="FFC5ECE4"/>
      </x:colorScale>
    </x:cfRule>
  </x:conditionalFormatting>
  <x:conditionalFormatting sqref="W8:W77">
    <x:cfRule type="expression" dxfId="2" priority="3">
      <x:formula>W8="W PASMIE"</x:formula>
    </x:cfRule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21" hidden="0" customWidth="1"/>
    <x:col min="3" max="3" width="80" hidden="0" customWidth="1"/>
    <x:col min="4" max="4" width="22" hidden="0" customWidth="1"/>
    <x:col min="5" max="5" width="18" hidden="0" customWidth="1"/>
    <x:col min="6" max="6" width="18" hidden="0" customWidth="1"/>
  </x:cols>
  <x:sheetData>
    <x:row r="1" ht="31" customHeight="1">
      <x:c r="A1" s="213" t="str">
        <x:v>PARAMETRY | WYNIKI I OGRANICZENIA SYMULACJI V13</x:v>
      </x:c>
      <x:c r="B1" s="213"/>
      <x:c r="C1" s="213"/>
      <x:c r="D1" s="213"/>
      <x:c r="E1" s="213"/>
      <x:c r="F1" s="213"/>
      <x:c r="G1" s="213"/>
      <x:c r="H1" s="213"/>
    </x:row>
    <x:row r="2" ht="27" customHeight="1"/>
    <x:row r="3" ht="34" customHeight="1">
      <x:c r="A3" s="217" t="str">
        <x:v>Parametr</x:v>
      </x:c>
      <x:c r="B3" s="217" t="str">
        <x:v>Wartość</x:v>
      </x:c>
      <x:c r="C3" s="217" t="str">
        <x:v>Interpretacja</x:v>
      </x:c>
    </x:row>
    <x:row r="4">
      <x:c r="A4" t="str">
        <x:v>ATK: waga w modelu Value</x:v>
      </x:c>
      <x:c r="B4" t="n">
        <x:v>1</x:v>
      </x:c>
      <x:c r="C4" t="str">
        <x:v>Wartość umowna, nie obrażenia zadane w partii.</x:v>
      </x:c>
    </x:row>
    <x:row r="5" ht="34" customHeight="1">
      <x:c r="A5" t="str">
        <x:v>MAX HP: waga w modelu Value</x:v>
      </x:c>
      <x:c r="B5" t="n">
        <x:v>0.45</x:v>
      </x:c>
      <x:c r="C5" t="str">
        <x:v>Wycena trwałości jednostek, przydatność zależy od sytuacji.</x:v>
      </x:c>
      <x:c r="D5" s="217" t="str">
        <x:v>Frakcja</x:v>
      </x:c>
      <x:c r="E5" s="217" t="str">
        <x:v>Przed |pp|</x:v>
      </x:c>
      <x:c r="F5" s="217" t="str">
        <x:v>Po |pp|</x:v>
      </x:c>
    </x:row>
    <x:row r="6">
      <x:c r="A6" t="str">
        <x:v>Tolerancja karty — wpływ na wynik (pp)</x:v>
      </x:c>
      <x:c r="B6" s="219" t="n">
        <x:v>4</x:v>
      </x:c>
      <x:c r="C6" t="str">
        <x:v>Akceptacja modelu Monte Carlo: ±4 p.p. względem równowagi.</x:v>
      </x:c>
      <x:c r="D6" t="str">
        <x:v>Elfy</x:v>
      </x:c>
      <x:c r="E6" t="n">
        <x:v>6.8</x:v>
      </x:c>
      <x:c r="F6" t="n">
        <x:v>2.15</x:v>
      </x:c>
    </x:row>
    <x:row r="7">
      <x:c r="A7" t="str">
        <x:v>Tolerancja sumy Value</x:v>
      </x:c>
      <x:c r="B7" s="219" t="n">
        <x:v>0.12</x:v>
      </x:c>
      <x:c r="C7" t="str">
        <x:v>Cel pomocniczy ±12%, nie wymuszamy kosztem rzeczywistych starć.</x:v>
      </x:c>
      <x:c r="D7" t="str">
        <x:v>Dzikie bestie</x:v>
      </x:c>
      <x:c r="E7" t="n">
        <x:v>4.96</x:v>
      </x:c>
      <x:c r="F7" t="n">
        <x:v>1.39</x:v>
      </x:c>
    </x:row>
    <x:row r="8">
      <x:c r="A8" t="str">
        <x:v>Mediana sumy Value (wyliczana)</x:v>
      </x:c>
      <x:c r="B8" t="n">
        <x:f>MEDIAN('Balans V13 — 70 kart'!U8:U77)</x:f>
        <x:v>17.53508</x:v>
      </x:c>
      <x:c r="C8" t="str">
        <x:v>Cel do porównywania V0 + V3.</x:v>
      </x:c>
      <x:c r="D8" t="str">
        <x:v>Potwory</x:v>
      </x:c>
      <x:c r="E8" t="n">
        <x:v>7.75</x:v>
      </x:c>
      <x:c r="F8" t="n">
        <x:v>1.61</x:v>
      </x:c>
    </x:row>
    <x:row r="9">
      <x:c r="A9" t="str">
        <x:v>Partie walidacyjne PO</x:v>
      </x:c>
      <x:c r="B9" t="n">
        <x:v>14000</x:v>
      </x:c>
      <x:c r="C9" t="str">
        <x:v>Nowe losowe rozstawienia, poza iteracjami strojenia.</x:v>
      </x:c>
      <x:c r="D9" t="str">
        <x:v>Krasnoludy</x:v>
      </x:c>
      <x:c r="E9" t="n">
        <x:v>4.26</x:v>
      </x:c>
      <x:c r="F9" t="n">
        <x:v>1.43</x:v>
      </x:c>
    </x:row>
    <x:row r="10">
      <x:c r="A10" t="str">
        <x:v>Partie bazowe PRZED</x:v>
      </x:c>
      <x:c r="B10" t="n">
        <x:v>16000</x:v>
      </x:c>
      <x:c r="C10" t="str">
        <x:v>Próba pierwotnych ATK/HP przy nowych regułach statusów.</x:v>
      </x:c>
      <x:c r="D10" t="str">
        <x:v>Ludzie</x:v>
      </x:c>
      <x:c r="E10" t="n">
        <x:v>5.07</x:v>
      </x:c>
      <x:c r="F10" t="n">
        <x:v>1.59</x:v>
      </x:c>
    </x:row>
    <x:row r="11">
      <x:c r="A11" t="str">
        <x:v>Odsetek zwycięstw pierwszego gracza w modelu</x:v>
      </x:c>
      <x:c r="B11" s="181" t="n">
        <x:v>0.7214285714285714</x:v>
      </x:c>
      <x:c r="C11" t="str">
        <x:v>Ważny problem osobny; aukcje i bonus +1 monety drugiego nie były symulowane.</x:v>
      </x:c>
    </x:row>
    <x:row r="12">
      <x:c r="A12" t="str">
        <x:v>Próba modeli</x:v>
      </x:c>
      <x:c r="B12" t="str">
        <x:v>STARTOWA</x:v>
      </x:c>
      <x:c r="C12" t="str">
        <x:v>70 archetypów, losowe prywatne pule po 10 kart / gracza, 5 na ręce, 5 w talii.</x:v>
      </x:c>
    </x:row>
    <x:row r="13">
      <x:c r="A13" t="str">
        <x:v>Wersja</x:v>
      </x:c>
      <x:c r="B13" t="str">
        <x:v>v13</x:v>
      </x:c>
      <x:c r="C13" t="str">
        <x:v>Uproszczony Monte Carlo 1v1 z AI — NIE silnik produkcyjnej gry.</x:v>
      </x:c>
    </x:row>
    <x:row r="16" ht="34" customHeight="1">
      <x:c r="A16" s="217" t="str">
        <x:v>WYŚWIETLACZ</x:v>
      </x:c>
      <x:c r="B16" s="217" t="str">
        <x:v>WYNIK</x:v>
      </x:c>
      <x:c r="C16" s="217" t="str">
        <x:v>OPIS</x:v>
      </x:c>
      <x:c r="D16" s="217" t="str"/>
      <x:c r="E16" s="217" t="str"/>
      <x:c r="F16" s="217" t="str"/>
    </x:row>
    <x:row r="17">
      <x:c r="A17" t="str">
        <x:v>Karty w normie wg symulacji</x:v>
      </x:c>
      <x:c r="B17" t="n">
        <x:f>COUNTIF('Balans V13 — 70 kart'!W8:W77,"W PASMIE")</x:f>
        <x:v>70</x:v>
      </x:c>
      <x:c r="D17" t="str">
        <x:v>Wszystkie 70 podstawowych kombinacji</x:v>
      </x:c>
      <x:c r="E17" t="str"/>
      <x:c r="F17" t="str"/>
    </x:row>
    <x:row r="18">
      <x:c r="A18" t="str">
        <x:v>Karty z odchyleniem &gt;4pp</x:v>
      </x:c>
      <x:c r="B18" t="n">
        <x:f>COUNTIF('Balans V13 — 70 kart'!W8:W77,"DO TESTU")</x:f>
        <x:v>0</x:v>
      </x:c>
      <x:c r="D18" t="str">
        <x:v>Ocena nie zastępuje testów graczy</x:v>
      </x:c>
      <x:c r="E18" t="str"/>
      <x:c r="F18" t="str"/>
    </x:row>
    <x:row r="19">
      <x:c r="A19" t="str">
        <x:v>Karty w pasmie Value ±12%</x:v>
      </x:c>
      <x:c r="B19" t="n">
        <x:f>COUNTIF('Balans V13 — 70 kart'!X8:X77,"W PASMIE")</x:f>
        <x:v>56</x:v>
      </x:c>
      <x:c r="D19" t="str">
        <x:v>Wartość heurystyczna i zależna od założeń</x:v>
      </x:c>
      <x:c r="E19" t="str"/>
      <x:c r="F19" t="str"/>
    </x:row>
    <x:row r="20">
      <x:c r="A20" t="str">
        <x:v>Zmiany ATK / HP</x:v>
      </x:c>
      <x:c r="B20" t="n">
        <x:f>COUNTIF('Balans V13 — 70 kart'!Y8:Y77,"Zmieniono statystyki")</x:f>
        <x:v>49</x:v>
      </x:c>
      <x:c r="D20" t="str">
        <x:v>Więcej zmian może być równocześnie w umiejętnościach</x:v>
      </x:c>
      <x:c r="E20" t="str"/>
      <x:c r="F20" t="str"/>
    </x:row>
    <x:row r="21">
      <x:c r="A21" t="str">
        <x:v>Zmodyfikowane umiejętności</x:v>
      </x:c>
      <x:c r="B21" t="n">
        <x:f>10</x:f>
        <x:v>10</x:v>
      </x:c>
      <x:c r="D21" t="str">
        <x:v>Statusy, aury, bonusy liczbowe</x:v>
      </x:c>
      <x:c r="E21" t="str"/>
      <x:c r="F21" t="str"/>
    </x:row>
    <x:row r="22">
      <x:c r="A22" t="str">
        <x:v>Średni |wpływ| po kalibracji</x:v>
      </x:c>
      <x:c r="B22" t="n">
        <x:f>1.6337142857142857</x:f>
        <x:v>1.6337142857142857</x:v>
      </x:c>
      <x:c r="D22" t="str">
        <x:v>Spadek rozrzutu świadczy o dopasowaniu do modelu</x:v>
      </x:c>
      <x:c r="E22" t="str"/>
      <x:c r="F22" t="str"/>
    </x:row>
    <x:row r="23">
      <x:c r="A23" t="str">
        <x:v>Średni |wpływ| przed kalibracją</x:v>
      </x:c>
      <x:c r="B23" t="n">
        <x:f>5.765714285714286</x:f>
        <x:v>5.765714285714286</x:v>
      </x:c>
      <x:c r="D23" t="str">
        <x:v>Wynik nie jest dowodem finalnego balansu</x:v>
      </x:c>
      <x:c r="E23" t="str"/>
      <x:c r="F23" t="str"/>
    </x:row>
    <x:row r="26" ht="34" customHeight="1">
      <x:c r="A26" s="218" t="str">
        <x:v>KRYTYCZNE OGRANICZENIE: PRZEWAGA GRACZA ROZPOCZYNAJĄCEGO</x:v>
      </x:c>
      <x:c r="B26" s="218" t="str"/>
      <x:c r="C26" s="218" t="str"/>
      <x:c r="D26" s="218" t="str"/>
      <x:c r="E26" s="218" t="str"/>
      <x:c r="F26" s="218" t="str"/>
    </x:row>
    <x:row r="27" ht="40" customHeight="1">
      <x:c r="A27" s="91" t="str">
        <x:v>Pierwszy gracz wygrał w tej symulacji około 72% partii. Drugi dostaje +1 monetę, lecz aukcji i wydawania monet tutaj nie modelowano.</x:v>
      </x:c>
      <x:c r="B27" s="91"/>
      <x:c r="C27" s="91"/>
    </x:row>
    <x:row r="28" ht="40" customHeight="1">
      <x:c r="A28" s="91" t="str">
        <x:v>Wniosek: rozkład mocy samych kart udało się wyrównać w tym modelu, ale balans całej gry 1v1 (kolejność, aukcje, ekonomia) pozostaje otwarty.</x:v>
      </x:c>
      <x:c r="B28" s="91"/>
      <x:c r="C28" s="91"/>
    </x:row>
    <x:row r="29" ht="40" customHeight="1">
      <x:c r="A29" s="91"/>
      <x:c r="B29" s="91"/>
      <x:c r="C29" s="91"/>
    </x:row>
    <x:row r="30" ht="40" customHeight="1">
      <x:c r="A30" s="91" t="str">
        <x:v>Wskaźnik Value 0 + Value 3T jest dodatkowym kryterium, nie celem absolutnym: wymuszanie tej samej sumy może zniszczyć zbalansowane starcia.</x:v>
      </x:c>
      <x:c r="B30" s="91"/>
      <x:c r="C30" s="91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5431427576314ac2"/>
</x:worksheet>
</file>

<file path=xl/worksheets/sheet2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7" hidden="0" customWidth="1"/>
    <x:col min="3" max="3" width="68" hidden="0" customWidth="1"/>
    <x:col min="4" max="4" width="76" hidden="0" customWidth="1"/>
    <x:col min="5" max="5" width="60" hidden="0" customWidth="1"/>
  </x:cols>
  <x:sheetData>
    <x:row r="1" ht="31" customHeight="1">
      <x:c r="A1" s="213" t="str">
        <x:v>KARTY I WARUNKI AKTYWACJI | ZMIANY PO TESTACH</x:v>
      </x:c>
      <x:c r="B1" s="213"/>
      <x:c r="C1" s="213"/>
      <x:c r="D1" s="213"/>
      <x:c r="E1" s="213"/>
    </x:row>
    <x:row r="2" ht="27" customHeight="1"/>
    <x:row r="3" ht="34" customHeight="1">
      <x:c r="A3" s="217" t="str">
        <x:v>ID</x:v>
      </x:c>
      <x:c r="B3" s="217" t="str">
        <x:v>Karta</x:v>
      </x:c>
      <x:c r="C3" s="217" t="str">
        <x:v>Poprzednia zasada</x:v>
      </x:c>
      <x:c r="D3" s="217" t="str">
        <x:v>Nowa zasada</x:v>
      </x:c>
      <x:c r="E3" s="217" t="str">
        <x:v>Powód</x:v>
      </x:c>
    </x:row>
    <x:row r="4" ht="73" customHeight="1">
      <x:c r="A4" s="91" t="str">
        <x:v>S04</x:v>
      </x:c>
      <x:c r="B4" s="91" t="str">
        <x:v>Tkacz Run</x:v>
      </x:c>
      <x:c r="C4" s="91" t="str">
        <x:v>Wybierz: przyznaj własnej jednostce +3 ATK albo nałóż −3 ATK na wrogą jednostkę; efekt trwa do opuszczenia planszy przez cel.</x:v>
      </x:c>
      <x:c r="D4" s="91" t="str">
        <x:v>Wybierz: przyznaj własnej jednostce +1 ATK albo nałóż −1 ATK na wrogą jednostkę; efekt trwa do opuszczenia planszy przez cel.</x:v>
      </x:c>
      <x:c r="E4" s="91" t="str">
        <x:v>Stałe ±1 zamiast ±3; testy wykazały nadmierny potencjał trwałych premii.</x:v>
      </x:c>
    </x:row>
    <x:row r="5" ht="73" customHeight="1">
      <x:c r="A5" s="91" t="str">
        <x:v>S23</x:v>
      </x:c>
      <x:c r="B5" s="91" t="str">
        <x:v>Klątwonosiciel</x:v>
      </x:c>
      <x:c r="C5" s="91" t="str">
        <x:v>Wybierz: przyznaj pozostałej własnej jednostce +4 ATK albo nałóż −4 ATK na wrogą jednostkę; efekt trwa do opuszczenia planszy przez cel.</x:v>
      </x:c>
      <x:c r="D5" s="91" t="str">
        <x:v>Wybierz: przyznaj pozostałej własnej jednostce +2 ATK albo nałóż −2 ATK na wrogą jednostkę; efekt trwa do opuszczenia planszy przez cel.</x:v>
      </x:c>
      <x:c r="E5" s="91" t="str">
        <x:v>Stałe ±2 zamiast ±4; nadal mocniejsze niż u Elfów.</x:v>
      </x:c>
    </x:row>
    <x:row r="6" ht="73" customHeight="1">
      <x:c r="A6" s="91" t="str">
        <x:v>S34</x:v>
      </x:c>
      <x:c r="B6" s="91" t="str">
        <x:v>Chorąży Królewskiej Kompanii</x:v>
      </x:c>
      <x:c r="C6" s="91" t="str">
        <x:v>Wybierz tryb aury przy pojawieniu się na planszy: pozostałe własne jednostki mają +1 ATK ALBO wrogie jednostki mają −1 ATK, dopóki zdolność działa.</x:v>
      </x:c>
      <x:c r="D6" s="91" t="str">
        <x:v>Wybierz tryb aury przy wystawieniu: najbliższa inna sojusznicza jednostka (preferuj po prawej, w przeciwnym razie po lewej) ma +1 ATK ALBO wroga jednostka bezpośrednio naprzeciw Chorążego ma −1 ATK. Tryb jest stały do opuszczenia planszy.</x:v>
      </x:c>
      <x:c r="E6" s="91" t="str">
        <x:v>Tryby wzajemnie wykluczające się; tylko jeden cel aury.</x:v>
      </x:c>
    </x:row>
    <x:row r="7" ht="73" customHeight="1">
      <x:c r="A7" s="91" t="str">
        <x:v>S95</x:v>
      </x:c>
      <x:c r="B7" s="91" t="str">
        <x:v>Młotnik Wstrząsów</x:v>
      </x:c>
      <x:c r="C7" s="91" t="str">
        <x:v>Ogłusz wrogą jednostkę z najniższym aktualnym ATK na 1 jej własną turę.</x:v>
      </x:c>
      <x:c r="D7" s="91" t="str">
        <x:v>Na koniec tury ogłusz wrogą jednostkę z najniższym aktualnym ATK na 1 jej własną turę. Nie możesz ogłuszać tej samej jednostki w dwóch kolejnych własnych turach.</x:v>
      </x:c>
      <x:c r="E7" s="91" t="str">
        <x:v>Przerwa chroni przed nieprzerwanym stun-lockiem jednego celu.</x:v>
      </x:c>
    </x:row>
    <x:row r="8" ht="73" customHeight="1">
      <x:c r="A8" s="91" t="str">
        <x:v>S108</x:v>
      </x:c>
      <x:c r="B8" s="91" t="str">
        <x:v>Królewski Trębacz</x:v>
      </x:c>
      <x:c r="C8" s="91" t="str">
        <x:v>Dopóki ta zdolność działa, wroga jednostka bezpośrednio naprzeciw tej jednostki pozostaje ogłuszona.</x:v>
      </x:c>
      <x:c r="D8" s="91" t="str">
        <x:v>Gdy wroga jednostka po raz pierwszy znajdzie się naprzeciw Trębacza, jest ogłuszona na 1 własną turę. Ta sama jednostka nie może być ogłuszona ponownie przez Trębacza podczas jego bieżącego wystawienia.</x:v>
      </x:c>
      <x:c r="E8" s="91" t="str">
        <x:v>Pasywne ogłuszenie tylko raz na dany cel podczas wystawienia.</x:v>
      </x:c>
    </x:row>
    <x:row r="9" ht="73" customHeight="1">
      <x:c r="A9" s="91" t="str">
        <x:v>S101</x:v>
      </x:c>
      <x:c r="B9" s="91" t="str">
        <x:v>Konstruktor Sprężyn</x:v>
      </x:c>
      <x:c r="C9" s="91" t="str">
        <x:v>Nadaj wybranej karcie jednostki z własnej ręki możliwość ataku od razu po najbliższym wystawieniu.</x:v>
      </x:c>
      <x:c r="D9" s="91" t="str">
        <x:v>Na koniec tury wybierz jedną kartę jednostki z ręki; otrzymuje Szybki atak wyłącznie jeśli wystawisz ją w swojej następnej turze. Bonus nie przechodzi na kolejne tury i nie kumuluje się.</x:v>
      </x:c>
      <x:c r="E9" s="91" t="str">
        <x:v>Szybki atak musi zostać wykorzystany w następnej własnej turze.</x:v>
      </x:c>
    </x:row>
    <x:row r="10" ht="73" customHeight="1">
      <x:c r="A10" s="91" t="str">
        <x:v>S102</x:v>
      </x:c>
      <x:c r="B10" s="91" t="str">
        <x:v>Mechanik Dwóch Ostrzy</x:v>
      </x:c>
      <x:c r="C10" s="91" t="str">
        <x:v>Wybrana sojusznicza jednostka otrzymuje Podwójny atak do końca jej najbliższej własnej tury.</x:v>
      </x:c>
      <x:c r="D10" s="91" t="str">
        <x:v>Na koniec tury wybrana sojusznicza jednostka otrzymuje Podwójny atak wyłącznie w swojej najbliższej własnej turze; premia nie kumuluje się.</x:v>
      </x:c>
      <x:c r="E10" s="91" t="str">
        <x:v>Bez trwałego przekazywania Podwójnego ataku.</x:v>
      </x:c>
    </x:row>
    <x:row r="11" ht="73" customHeight="1">
      <x:c r="A11" s="91" t="str">
        <x:v>S32</x:v>
      </x:c>
      <x:c r="B11" s="91" t="str">
        <x:v>Alchemik Kopalnianych Trucizn</x:v>
      </x:c>
      <x:c r="C11" s="91" t="str">
        <x:v>Nałóż na wybraną wrogą jednostkę truciznę: 1 obrażenie przez 2 jej własne tury.</x:v>
      </x:c>
      <x:c r="D11" s="91" t="str">
        <x:v>Na koniec tury nałóż na wybraną wrogą jednostkę truciznę: 1 obrażenie przez 2 jej własne tury. Jedna jednostka może mieć tylko jedną aktywną truciznę pochodzącą od tego Alchemika; trucizny różnych źródeł nadal się sumują.</x:v>
      </x:c>
      <x:c r="E11" s="91" t="str">
        <x:v>Brak dokładania tej samej trucizny, kiedy już trwa.</x:v>
      </x:c>
    </x:row>
    <x:row r="12" ht="73" customHeight="1">
      <x:c r="A12" s="91" t="str">
        <x:v>S104</x:v>
      </x:c>
      <x:c r="B12" s="91" t="str">
        <x:v>Kapelan Garnizonu</x:v>
      </x:c>
      <x:c r="C12" s="91" t="str">
        <x:v>Dopóki ta jednostka jest na planszy, każda własna jednostka odzyskuje dodatkowe 1 HP podczas leczenia ze zdolności.</x:v>
      </x:c>
      <x:c r="D12" s="91" t="str">
        <x:v>Dopóki ta jednostka jest na planszy, każda własna jednostka odzyskuje dodatkowe 2 HP podczas leczenia ze zdolności.</x:v>
      </x:c>
      <x:c r="E12" s="91" t="str">
        <x:v>Wzmocnienie słabej wcześniej aury leczenia: +2 zamiast +1.</x:v>
      </x:c>
    </x:row>
    <x:row r="13" ht="73" customHeight="1">
      <x:c r="A13" s="91" t="str">
        <x:v>S109</x:v>
      </x:c>
      <x:c r="B13" s="91" t="str">
        <x:v>Kapelan Odnowy</x:v>
      </x:c>
      <x:c r="C13" s="91" t="str">
        <x:v>Ta jednostka ma regenerację 1 HP na koniec każdej własnej tury, dopóki działa ta zdolność.</x:v>
      </x:c>
      <x:c r="D13" s="91" t="str">
        <x:v>Ta jednostka ma regenerację 2 HP na koniec każdej własnej tury, dopóki działa ta zdolność.</x:v>
      </x:c>
      <x:c r="E13" s="91" t="str">
        <x:v>Wzmocnienie samoregeneracji: 2 HP zamiast 1 HP.</x:v>
      </x:c>
    </x:row>
    <x:row r="14">
      <x:c r="A14" s="91"/>
      <x:c r="B14" s="91"/>
      <x:c r="C14" s="91"/>
      <x:c r="D14" s="91"/>
      <x:c r="E14" s="91"/>
    </x:row>
    <x:row r="15">
      <x:c r="A15" s="91"/>
      <x:c r="B15" s="91"/>
      <x:c r="C15" s="91"/>
      <x:c r="D15" s="91"/>
      <x:c r="E15" s="91"/>
    </x:row>
    <x:row r="16" ht="34" customHeight="1">
      <x:c r="A16" s="217" t="str">
        <x:v>RODZINA EFEKTU</x:v>
      </x:c>
      <x:c r="B16" s="217" t="str">
        <x:v>SKALOWANIE PO KAŻDYCH 3 TURACH NA RĘCE</x:v>
      </x:c>
      <x:c r="C16" s="217" t="str">
        <x:v>CHARAKTER ZMIANY</x:v>
      </x:c>
      <x:c r="D16" s="217" t="str">
        <x:v>STATUS</x:v>
      </x:c>
      <x:c r="E16" s="217" t="str">
        <x:v>UWAGI</x:v>
      </x:c>
    </x:row>
    <x:row r="17" ht="53" customHeight="1">
      <x:c r="A17" s="91" t="str">
        <x:v>Obrażenia</x:v>
      </x:c>
      <x:c r="B17" s="91" t="str">
        <x:v>Co 3 własne tury na ręce: +1 do obrażeń zdolności (za każdy ukończony próg).</x:v>
      </x:c>
      <x:c r="C17" s="91" t="str">
        <x:v>Premia niezależna od +2 statystyk co własną turę</x:v>
      </x:c>
      <x:c r="D17" s="91" t="str">
        <x:v>Ustalona w wersji balansu V13</x:v>
      </x:c>
      <x:c r="E17" s="91" t="str">
        <x:v>Nie dodaje automatycznie dodatkowych ataków/ładunków/tur ogłuszenia.</x:v>
      </x:c>
    </x:row>
    <x:row r="18" ht="53" customHeight="1">
      <x:c r="A18" s="91" t="str">
        <x:v>Leczenie</x:v>
      </x:c>
      <x:c r="B18" s="91" t="str">
        <x:v>Co 3 własne tury na ręce: +1 do leczenia ze zdolności.</x:v>
      </x:c>
      <x:c r="C18" s="91" t="str">
        <x:v>Premia niezależna od +2 statystyk co własną turę</x:v>
      </x:c>
      <x:c r="D18" s="91" t="str">
        <x:v>Ustalona w wersji balansu V13</x:v>
      </x:c>
      <x:c r="E18" s="91" t="str">
        <x:v>Nie dodaje automatycznie dodatkowych ataków/ładunków/tur ogłuszenia.</x:v>
      </x:c>
    </x:row>
    <x:row r="19" ht="53" customHeight="1">
      <x:c r="A19" s="91" t="str">
        <x:v>ATK ±</x:v>
      </x:c>
      <x:c r="B19" s="91" t="str">
        <x:v>Co 3 własne tury na ręce: +1 do modułu premii lub osłabienia ATK.</x:v>
      </x:c>
      <x:c r="C19" s="91" t="str">
        <x:v>Premia niezależna od +2 statystyk co własną turę</x:v>
      </x:c>
      <x:c r="D19" s="91" t="str">
        <x:v>Ustalona w wersji balansu V13</x:v>
      </x:c>
      <x:c r="E19" s="91" t="str">
        <x:v>Nie dodaje automatycznie dodatkowych ataków/ładunków/tur ogłuszenia.</x:v>
      </x:c>
    </x:row>
    <x:row r="20" ht="53" customHeight="1">
      <x:c r="A20" s="91" t="str">
        <x:v>MAX HP ±</x:v>
      </x:c>
      <x:c r="B20" s="91" t="str">
        <x:v>Co 3 własne tury na ręce: +1 do modułu zmiany MAX HP.</x:v>
      </x:c>
      <x:c r="C20" s="91" t="str">
        <x:v>Premia niezależna od +2 statystyk co własną turę</x:v>
      </x:c>
      <x:c r="D20" s="91" t="str">
        <x:v>Ustalona w wersji balansu V13</x:v>
      </x:c>
      <x:c r="E20" s="91" t="str">
        <x:v>Nie dodaje automatycznie dodatkowych ataków/ładunków/tur ogłuszenia.</x:v>
      </x:c>
    </x:row>
    <x:row r="21" ht="53" customHeight="1">
      <x:c r="A21" s="91" t="str">
        <x:v>Pancerz</x:v>
      </x:c>
      <x:c r="B21" s="91" t="str">
        <x:v>Co 3 własne tury na ręce: +1 do pancerza przyznanego/odebranego przez zdolność.</x:v>
      </x:c>
      <x:c r="C21" s="91" t="str">
        <x:v>Premia niezależna od +2 statystyk co własną turę</x:v>
      </x:c>
      <x:c r="D21" s="91" t="str">
        <x:v>Ustalona w wersji balansu V13</x:v>
      </x:c>
      <x:c r="E21" s="91" t="str">
        <x:v>Nie dodaje automatycznie dodatkowych ataków/ładunków/tur ogłuszenia.</x:v>
      </x:c>
    </x:row>
    <x:row r="22" ht="53" customHeight="1">
      <x:c r="A22" s="91" t="str">
        <x:v>Tarcza</x:v>
      </x:c>
      <x:c r="B22" s="91" t="str">
        <x:v>Co 3 własne tury na ręce: dodatkowo +3 MAX HP (nie zwiększaj liczby tarcz).</x:v>
      </x:c>
      <x:c r="C22" s="91" t="str">
        <x:v>Premia niezależna od +2 statystyk co własną turę</x:v>
      </x:c>
      <x:c r="D22" s="91" t="str">
        <x:v>Wcześniej zatwierdzona</x:v>
      </x:c>
      <x:c r="E22" s="91" t="str">
        <x:v>Nie dodaje automatycznie dodatkowych ataków/ładunków/tur ogłuszenia.</x:v>
      </x:c>
    </x:row>
    <x:row r="23" ht="53" customHeight="1">
      <x:c r="A23" s="91" t="str">
        <x:v>Trucizna</x:v>
      </x:c>
      <x:c r="B23" s="91" t="str">
        <x:v>Co 3 własne tury na ręce: +1 do ŁĄCZNYCH obrażeń z jednej porcji trucizny; czas trwania bez zmian.</x:v>
      </x:c>
      <x:c r="C23" s="91" t="str">
        <x:v>Premia niezależna od +2 statystyk co własną turę</x:v>
      </x:c>
      <x:c r="D23" s="91" t="str">
        <x:v>Ustalona w wersji balansu V13</x:v>
      </x:c>
      <x:c r="E23" s="91" t="str">
        <x:v>Nie dodaje automatycznie dodatkowych ataków/ładunków/tur ogłuszenia.</x:v>
      </x:c>
    </x:row>
    <x:row r="24" ht="53" customHeight="1">
      <x:c r="A24" s="91" t="str">
        <x:v>Ogłuszenie</x:v>
      </x:c>
      <x:c r="B24" s="91" t="str">
        <x:v>Co 3 własne tury na ręce: zdolność przy nałożeniu ogłuszenia zadaje dodatkowo +1 obrażenie; czas ogłuszenia nadal 1 własna tura.</x:v>
      </x:c>
      <x:c r="C24" s="91" t="str">
        <x:v>Premia niezależna od +2 statystyk co własną turę</x:v>
      </x:c>
      <x:c r="D24" s="91" t="str">
        <x:v>Ustalona w wersji balansu V13</x:v>
      </x:c>
      <x:c r="E24" s="91" t="str">
        <x:v>Nie dodaje automatycznie dodatkowych ataków/ładunków/tur ogłuszenia.</x:v>
      </x:c>
    </x:row>
    <x:row r="25" ht="53" customHeight="1">
      <x:c r="A25" s="91" t="str">
        <x:v>Regeneracja</x:v>
      </x:c>
      <x:c r="B25" s="91" t="str">
        <x:v>Co 3 własne tury na ręce: +1 do ŁĄCZNEGO leczenia z jednej porcji regeneracji; czas trwania bez zmian.</x:v>
      </x:c>
      <x:c r="C25" s="91" t="str">
        <x:v>Premia niezależna od +2 statystyk co własną turę</x:v>
      </x:c>
      <x:c r="D25" s="91" t="str">
        <x:v>Ustalona w wersji balansu V13</x:v>
      </x:c>
      <x:c r="E25" s="91" t="str">
        <x:v>Nie dodaje automatycznie dodatkowych ataków/ładunków/tur ogłuszenia.</x:v>
      </x:c>
    </x:row>
    <x:row r="26" ht="53" customHeight="1">
      <x:c r="A26" s="91" t="str">
        <x:v>Prowokacja</x:v>
      </x:c>
      <x:c r="B26" s="91" t="str">
        <x:v>Co 3 własne tury na ręce: dodatkowo +3 MAX HP (czas prowokacji bez zmian).</x:v>
      </x:c>
      <x:c r="C26" s="91" t="str">
        <x:v>Premia niezależna od +2 statystyk co własną turę</x:v>
      </x:c>
      <x:c r="D26" s="91" t="str">
        <x:v>Wcześniej zatwierdzona</x:v>
      </x:c>
      <x:c r="E26" s="91" t="str">
        <x:v>Nie dodaje automatycznie dodatkowych ataków/ładunków/tur ogłuszenia.</x:v>
      </x:c>
    </x:row>
    <x:row r="27" ht="53" customHeight="1">
      <x:c r="A27" s="91" t="str">
        <x:v>Oczyszczanie</x:v>
      </x:c>
      <x:c r="B27" s="91" t="str">
        <x:v>Co 3 własne tury na ręce: za każde użyteczne oczyszczenie ulecz własny cel o dodatkowe 1 HP lub zadaj wrogiemu celowi dodatkowe 1 obrażenie.</x:v>
      </x:c>
      <x:c r="C27" s="91" t="str">
        <x:v>Premia niezależna od +2 statystyk co własną turę</x:v>
      </x:c>
      <x:c r="D27" s="91" t="str">
        <x:v>Ustalona w wersji balansu V13</x:v>
      </x:c>
      <x:c r="E27" s="91" t="str">
        <x:v>Nie dodaje automatycznie dodatkowych ataków/ładunków/tur ogłuszenia.</x:v>
      </x:c>
    </x:row>
    <x:row r="28" ht="53" customHeight="1">
      <x:c r="A28" s="91" t="str">
        <x:v>Odporność</x:v>
      </x:c>
      <x:c r="B28" s="91" t="str">
        <x:v>Co 3 własne tury na ręce: przy pierwszej aktywacji zdolności po wystawieniu przyznaj dodatkowo 1 trwałego pancerza chronionej jednostce (za każdy poziom).</x:v>
      </x:c>
      <x:c r="C28" s="91" t="str">
        <x:v>Premia niezależna od +2 statystyk co własną turę</x:v>
      </x:c>
      <x:c r="D28" s="91" t="str">
        <x:v>Ustalona w wersji balansu V13</x:v>
      </x:c>
      <x:c r="E28" s="91" t="str">
        <x:v>Nie dodaje automatycznie dodatkowych ataków/ładunków/tur ogłuszenia.</x:v>
      </x:c>
    </x:row>
    <x:row r="29" ht="53" customHeight="1">
      <x:c r="A29" s="91" t="str">
        <x:v>Szybki atak</x:v>
      </x:c>
      <x:c r="B29" s="91" t="str">
        <x:v>Co 3 własne tury na ręce: dodatkowo +2 ATK i +1 MAX HP.</x:v>
      </x:c>
      <x:c r="C29" s="91" t="str">
        <x:v>Premia niezależna od +2 statystyk co własną turę</x:v>
      </x:c>
      <x:c r="D29" s="91" t="str">
        <x:v>Wcześniej zatwierdzona</x:v>
      </x:c>
      <x:c r="E29" s="91" t="str">
        <x:v>Nie dodaje automatycznie dodatkowych ataków/ładunków/tur ogłuszenia.</x:v>
      </x:c>
    </x:row>
    <x:row r="30" ht="53" customHeight="1">
      <x:c r="A30" s="91" t="str">
        <x:v>Podwójny atak</x:v>
      </x:c>
      <x:c r="B30" s="91" t="str">
        <x:v>Co 3 własne tury na ręce: dodatkowo +2 ATK (liczba ataków bez zmian).</x:v>
      </x:c>
      <x:c r="C30" s="91" t="str">
        <x:v>Premia niezależna od +2 statystyk co własną turę</x:v>
      </x:c>
      <x:c r="D30" s="91" t="str">
        <x:v>Wcześniej zatwierdzona</x:v>
      </x:c>
      <x:c r="E30" s="91" t="str">
        <x:v>Nie dodaje automatycznie dodatkowych ataków/ładunków/tur ogłuszenia.</x:v>
      </x:c>
    </x:row>
  </x:sheetData>
  <x:mergeCells>
    <x:mergeCell ref="A1:E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15" hidden="0" customWidth="1"/>
  </x:cols>
  <x:sheetData>
    <x:row r="1" ht="31" customHeight="1">
      <x:c r="A1" s="213" t="str">
        <x:v>MONTE CARLO | METODA, OGRANICZENIA I NASTĘPNY TEST</x:v>
      </x:c>
      <x:c r="B1" s="213"/>
      <x:c r="C1" s="213"/>
      <x:c r="D1" s="213"/>
      <x:c r="E1" s="213"/>
      <x:c r="F1" s="213"/>
      <x:c r="G1" s="213"/>
      <x:c r="H1" s="213"/>
    </x:row>
    <x:row r="2" ht="27" customHeight="1"/>
    <x:row r="3" ht="34" customHeight="1">
      <x:c r="A3" s="91" t="str">
        <x:v>Przedmiot</x:v>
      </x:c>
      <x:c r="B3" s="91" t="str">
        <x:v>70 archetypów bazowych; 5 frakcji × 14 rodzin efektów; brak kart aukcyjnych.</x:v>
      </x:c>
    </x:row>
    <x:row r="4" ht="34" customHeight="1">
      <x:c r="A4" s="91" t="str">
        <x:v>Próba bazowa</x:v>
      </x:c>
      <x:c r="B4" s="91" t="str">
        <x:v>16,000 losowych partii; statusy krytyczne według nowych ograniczeń, statystyki z v12.</x:v>
      </x:c>
    </x:row>
    <x:row r="5" ht="34" customHeight="1">
      <x:c r="A5" s="91" t="str">
        <x:v>Próba walidacyjna</x:v>
      </x:c>
      <x:c r="B5" s="91" t="str">
        <x:v>14,000 NOWYCH losowych partii po korektach; osobny zakres losowych ziaren.</x:v>
      </x:c>
    </x:row>
    <x:row r="6" ht="34" customHeight="1">
      <x:c r="A6" s="91" t="str">
        <x:v>Dobór kart</x:v>
      </x:c>
      <x:c r="B6" s="91" t="str">
        <x:v>Każdy gracz: losowe 10 jednostek z puli 70 (5 początkowo na ręce, 5 w stosie).</x:v>
      </x:c>
    </x:row>
    <x:row r="7" ht="34" customHeight="1">
      <x:c r="A7" s="91" t="str">
        <x:v>Szkielet rozgrywki</x:v>
      </x:c>
      <x:c r="B7" s="91" t="str">
        <x:v>100 HP bohatera; max 5 jednostek na planszy; 1 wystawienie na własną turę; ataki, śmierć, dobór, skalowanie na ręce.</x:v>
      </x:c>
    </x:row>
    <x:row r="8" ht="34" customHeight="1">
      <x:c r="A8" s="91" t="str">
        <x:v>Silnik zdarzeń</x:v>
      </x:c>
      <x:c r="B8" s="91" t="str">
        <x:v>Zarys: atak i kontratak, obrażenia bohatera, pancerz, tarcze, statusy i zgon, proste efekty trwające i pasywne.</x:v>
      </x:c>
    </x:row>
    <x:row r="9" ht="34" customHeight="1">
      <x:c r="A9" s="91" t="str">
        <x:v>AI</x:v>
      </x:c>
      <x:c r="B9" s="91" t="str">
        <x:v>Heurystyczne wybieranie kart i celów, element losowy; brak strategii turniejowych.</x:v>
      </x:c>
    </x:row>
    <x:row r="10" ht="34" customHeight="1">
      <x:c r="A10" s="91" t="str">
        <x:v>Wynik na kartę</x:v>
      </x:c>
      <x:c r="B10" s="91" t="str">
        <x:v>Regresja z efektami wszystkich 70 kart (wkład do wyniku ±1) i stałą dla kolejności ruchu.</x:v>
      </x:c>
    </x:row>
    <x:row r="11" ht="34" customHeight="1">
      <x:c r="A11" s="91" t="str">
        <x:v>Wpływ (pp)</x:v>
      </x:c>
      <x:c r="B11" s="91" t="str">
        <x:v>Zmiana szacowanej szansy zwycięstwa w punktach procentowych względem średniej po usunięciu efektu pierwszego ruchu.</x:v>
      </x:c>
    </x:row>
    <x:row r="12" ht="34" customHeight="1">
      <x:c r="A12" s="91" t="str">
        <x:v>Próg akceptacji</x:v>
      </x:c>
      <x:c r="B12" s="91" t="str">
        <x:v>Roboczo ±4 p.p. ze standardowym błędem rzędu ±1–2 p.p.; nie jest to przedział ufności 95%.</x:v>
      </x:c>
    </x:row>
    <x:row r="13" ht="34" customHeight="1">
      <x:c r="A13" s="91" t="str">
        <x:v>Balans wartości</x:v>
      </x:c>
      <x:c r="B13" s="91" t="str">
        <x:v>Value0 + Value3 jako MIERNIK pomocniczy; liczba aktywacji i efektywność statusów są parametrami heurystycznymi.</x:v>
      </x:c>
    </x:row>
    <x:row r="14" ht="34" customHeight="1">
      <x:c r="A14" s="91" t="str">
        <x:v>NIE OBJĘTO</x:v>
      </x:c>
      <x:c r="B14" s="91" t="str">
        <x:v>Aukcji po 3 rundach, rzadkości, monet, płatnych zdolności, progów HP bohaterów, pełnego systemu wszystkich czasów i efektów.</x:v>
      </x:c>
    </x:row>
    <x:row r="15" ht="34" customHeight="1">
      <x:c r="A15" s="91" t="str">
        <x:v>NIE OBJĘTO</x:v>
      </x:c>
      <x:c r="B15" s="91" t="str">
        <x:v>Pełnej logiki efektów kombinowanych (np. wszystkie stany aury, krótkie okna i pełna interakcja kart na ręce).</x:v>
      </x:c>
    </x:row>
    <x:row r="16" ht="34" customHeight="1">
      <x:c r="A16" s="91" t="str">
        <x:v>NIE OBJĘTO</x:v>
      </x:c>
      <x:c r="B16" s="91" t="str">
        <x:v>Adaptacyjnego przeciwnika i optymalnego doboru 10 kart spośród 70; losowe pule mocno wpływają na metagame.</x:v>
      </x:c>
    </x:row>
    <x:row r="17" ht="34" customHeight="1">
      <x:c r="A17" s="91" t="str">
        <x:v>Kluczowe ryzyko</x:v>
      </x:c>
      <x:c r="B17" s="91" t="str">
        <x:v>Pierwszy gracz wygrał 72.1% prób w tym modelu; ekonomiczna rekompensata drugiego nie jest symulowana.</x:v>
      </x:c>
    </x:row>
    <x:row r="18" ht="34" customHeight="1">
      <x:c r="A18" s="91" t="str">
        <x:v>Następna walidacja</x:v>
      </x:c>
      <x:c r="B18" s="91" t="str">
        <x:v>Dodać prawdziwe aukcje i 2–3 strategie AI, mierzyć win rate 1./2. gracza, win rate archetypu i medianę czasu partii.</x:v>
      </x:c>
    </x:row>
    <x:row r="19" ht="34" customHeight="1">
      <x:c r="A19" s="91" t="str">
        <x:v>Niepewność</x:v>
      </x:c>
      <x:c r="B19" s="91" t="str">
        <x:v>Brak gwarancji, że zbalansowana wersja w uproszczonym modelu zadziała identycznie w produkcyjnej implementacji.</x:v>
      </x:c>
    </x:row>
  </x:sheetData>
  <x:mergeCells>
    <x:mergeCell ref="A1:H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36" hidden="0" customWidth="1"/>
    <x:col min="3" max="3" width="80" hidden="0" customWidth="1"/>
    <x:col min="4" max="4" width="30" hidden="0" customWidth="1"/>
  </x:cols>
  <x:sheetData>
    <x:row r="1" ht="33" customHeight="1">
      <x:c r="A1" s="222" t="str">
        <x:v>ARCHIWUM — REGUŁY v14; AKTUALNY ARKUSZ: „ZASADY v17”</x:v>
      </x:c>
      <x:c r="B1" s="222" t="str"/>
      <x:c r="C1" s="222" t="str"/>
      <x:c r="D1" s="222" t="str"/>
    </x:row>
    <x:row r="3" ht="24" customHeight="1">
      <x:c r="A3" s="224" t="str">
        <x:v>Obszar</x:v>
      </x:c>
      <x:c r="B3" s="224" t="str">
        <x:v>Parametr</x:v>
      </x:c>
      <x:c r="C3" s="224" t="str">
        <x:v>Obowiązująca reguła</x:v>
      </x:c>
      <x:c r="D3" s="224" t="str">
        <x:v>Status</x:v>
      </x:c>
    </x:row>
    <x:row r="4">
      <x:c r="A4" s="91" t="str">
        <x:v>Kolejność</x:v>
      </x:c>
      <x:c r="B4" s="91" t="str">
        <x:v>Pierwszy gracz</x:v>
      </x:c>
      <x:c r="C4" s="91" t="str">
        <x:v>Wybrany losowo; brak monety startowej</x:v>
      </x:c>
      <x:c r="D4" s="91" t="str">
        <x:v>ZATWIERDZONE</x:v>
      </x:c>
    </x:row>
    <x:row r="5">
      <x:c r="A5" s="91" t="str">
        <x:v>Kolejność</x:v>
      </x:c>
      <x:c r="B5" s="91" t="str">
        <x:v>Drugi gracz</x:v>
      </x:c>
      <x:c r="C5" s="91" t="str">
        <x:v>Zaczyna z 3 monetami (wcześniej 1)</x:v>
      </x:c>
      <x:c r="D5" s="91" t="str">
        <x:v>ZATWIERDZONE 2026-10-16</x:v>
      </x:c>
    </x:row>
    <x:row r="6">
      <x:c r="A6" s="91" t="str">
        <x:v>Bohater</x:v>
      </x:c>
      <x:c r="B6" s="91" t="str">
        <x:v>Punkty życia</x:v>
      </x:c>
      <x:c r="C6" s="91" t="str">
        <x:v>Obaj zaczynają z 100 HP, maksimum 100 HP</x:v>
      </x:c>
      <x:c r="D6" s="91" t="str">
        <x:v>ZATWIERDZONE</x:v>
      </x:c>
    </x:row>
    <x:row r="7">
      <x:c r="A7" s="91" t="str">
        <x:v>Rekompensata</x:v>
      </x:c>
      <x:c r="B7" s="91" t="str">
        <x:v>Pancerz drugiego gracza</x:v>
      </x:c>
      <x:c r="C7" s="91" t="str">
        <x:v>0 punktów; wariant z 20 pancerza NIE jest przyjęty</x:v>
      </x:c>
      <x:c r="D7" s="91" t="str">
        <x:v>ZATWIERDZONE</x:v>
      </x:c>
    </x:row>
    <x:row r="8">
      <x:c r="A8" s="91" t="str">
        <x:v>Dochód</x:v>
      </x:c>
      <x:c r="B8" s="91" t="str">
        <x:v>Po pełnej rundzie</x:v>
      </x:c>
      <x:c r="C8" s="91" t="str">
        <x:v>+1 moneta dla każdego, przed aukcją</x:v>
      </x:c>
      <x:c r="D8" s="91" t="str">
        <x:v>ZATWIERDZONE</x:v>
      </x:c>
    </x:row>
    <x:row r="9">
      <x:c r="A9" s="91" t="str">
        <x:v>Aukcje</x:v>
      </x:c>
      <x:c r="B9" s="91" t="str">
        <x:v>Harmonogram</x:v>
      </x:c>
      <x:c r="C9" s="91" t="str">
        <x:v>Po każdej trzeciej pełnej rundzie</x:v>
      </x:c>
      <x:c r="D9" s="91" t="str">
        <x:v>ZATWIERDZONE</x:v>
      </x:c>
    </x:row>
    <x:row r="10">
      <x:c r="A10" s="91" t="str">
        <x:v>Karty</x:v>
      </x:c>
      <x:c r="B10" s="91" t="str">
        <x:v>Zestaw podstawowy</x:v>
      </x:c>
      <x:c r="C10" s="91" t="str">
        <x:v>70 unikatowych archetypów: 5 frakcji × 14 rodzajów efektów</x:v>
      </x:c>
      <x:c r="D10" s="91" t="str">
        <x:v>ZATWIERDZONE</x:v>
      </x:c>
    </x:row>
    <x:row r="11">
      <x:c r="A11" s="91" t="str">
        <x:v>Aukcje</x:v>
      </x:c>
      <x:c r="B11" s="91" t="str">
        <x:v>Unikatowe mechaniki</x:v>
      </x:c>
      <x:c r="C11" s="91" t="str">
        <x:v>Kopiowanie, przejęcie, wskrzeszanie, redukcja, dobór, monety i zdolności płatne</x:v>
      </x:c>
      <x:c r="D11" s="91" t="str">
        <x:v>DO ZAPROJEKTOWANIA</x:v>
      </x:c>
    </x:row>
    <x:row r="12">
      <x:c r="A12" s="91" t="str">
        <x:v>Symulacje</x:v>
      </x:c>
      <x:c r="B12" s="91" t="str">
        <x:v>Status modelu v14</x:v>
      </x:c>
      <x:c r="C12" s="91" t="str">
        <x:v>Model heurystyczny bez finalnej puli kart aukcyjnych; nie przesądza balansu pełnej gry</x:v>
      </x:c>
      <x:c r="D12" s="91" t="str">
        <x:v>INFORMACYJNE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31" hidden="0" customWidth="1"/>
    <x:col min="2" max="2" width="20" hidden="0" customWidth="1"/>
    <x:col min="3" max="3" width="96" hidden="0" customWidth="1"/>
  </x:cols>
  <x:sheetData>
    <x:row r="1" ht="33" customHeight="1">
      <x:c r="A1" s="227" t="str">
        <x:v>ARCHIWUM — ZASADY v15; AKTUALNY ARKUSZ: „ZASADY v17”</x:v>
      </x:c>
      <x:c r="B1" s="227"/>
      <x:c r="C1" s="227"/>
    </x:row>
    <x:row r="2" ht="23" customHeight="1">
      <x:c r="A2" s="229" t="str">
        <x:v>DEFINICJA</x:v>
      </x:c>
      <x:c r="B2" s="229" t="str">
        <x:v>STAN</x:v>
      </x:c>
      <x:c r="C2" s="229" t="str">
        <x:v>SPECYFIKACJA</x:v>
      </x:c>
    </x:row>
    <x:row r="3" ht="39" customHeight="1">
      <x:c r="A3" s="91" t="str">
        <x:v>70 kart podstawowych</x:v>
      </x:c>
      <x:c r="B3" s="91" t="str">
        <x:v>ZATWIERDZONE</x:v>
      </x:c>
      <x:c r="C3" s="91" t="str">
        <x:v>Jeden centralny bank: dokładnie 70 fizycznych kart, 70 archetypów i po 1 egzemplarzu każdego; bez duplikatów.</x:v>
      </x:c>
    </x:row>
    <x:row r="4" ht="39" customHeight="1">
      <x:c r="A4" s="91" t="str">
        <x:v>Rozdanie</x:v>
      </x:c>
      <x:c r="B4" s="91" t="str">
        <x:v>ZATWIERDZONE</x:v>
      </x:c>
      <x:c r="C4" s="91" t="str">
        <x:v>Po 10 unikatowych kart na gracza: 5 do ręki, 5 do stosu. W banku zostaje 50 kart.</x:v>
      </x:c>
    </x:row>
    <x:row r="5" ht="39" customHeight="1">
      <x:c r="A5" s="91" t="str">
        <x:v>Mulligan</x:v>
      </x:c>
      <x:c r="B5" s="91" t="str">
        <x:v>ZATWIERDZONE</x:v>
      </x:c>
      <x:c r="C5" s="91" t="str">
        <x:v>Równoczesny ukryty wybór 0–3; zamienne karty losowane z pozostałych 50, bez zwracania odrzuconych przed zakończeniem obu wymian.</x:v>
      </x:c>
    </x:row>
    <x:row r="6" ht="39" customHeight="1">
      <x:c r="A6" s="91" t="str">
        <x:v>Pierwszy gracz</x:v>
      </x:c>
      <x:c r="B6" s="91" t="str">
        <x:v>ZATWIERDZONE</x:v>
      </x:c>
      <x:c r="C6" s="91" t="str">
        <x:v>0 monet / 100 HP.</x:v>
      </x:c>
    </x:row>
    <x:row r="7" ht="39" customHeight="1">
      <x:c r="A7" s="91" t="str">
        <x:v>Drugi gracz</x:v>
      </x:c>
      <x:c r="B7" s="91" t="str">
        <x:v>ZATWIERDZONE</x:v>
      </x:c>
      <x:c r="C7" s="91" t="str">
        <x:v>3 monety / 100 HP; bez dodatkowego pancerza.</x:v>
      </x:c>
    </x:row>
    <x:row r="8" ht="39" customHeight="1">
      <x:c r="A8" s="91" t="str">
        <x:v>Kolejka globalna</x:v>
      </x:c>
      <x:c r="B8" s="91" t="str">
        <x:v>ZATWIERDZONE</x:v>
      </x:c>
      <x:c r="C8" s="91" t="str">
        <x:v>1 Walidacja; 2 Aktualizacja planszy i aur; 3 Efekt główny; 4 Reakcje; 5 Walka; 6 Fala skutków; 7 Zgony; 8 Efekty śmierci; 9 Kaskady i zakończenie.</x:v>
      </x:c>
    </x:row>
    <x:row r="9" ht="39" customHeight="1">
      <x:c r="A9" s="91" t="str">
        <x:v>Priorytet równorzędnych</x:v>
      </x:c>
      <x:c r="B9" s="91" t="str">
        <x:v>ZATWIERDZONE</x:v>
      </x:c>
      <x:c r="C9" s="91" t="str">
        <x:v>Aktywny gracz od lewej do prawej, następnie przeciwnik od lewej do prawej, potem instance_id.</x:v>
      </x:c>
    </x:row>
    <x:row r="10" ht="39" customHeight="1">
      <x:c r="A10" s="91" t="str">
        <x:v>Efekty „Przy śmierci”</x:v>
      </x:c>
      <x:c r="B10" s="91" t="str">
        <x:v>ZATWIERDZONE</x:v>
      </x:c>
      <x:c r="C10" s="91" t="str">
        <x:v>Zgony w tej samej fali rozliczane jednocześnie; kolejna fala dopiero po rozliczeniu całej poprzedniej.</x:v>
      </x:c>
    </x:row>
    <x:row r="11" ht="39" customHeight="1">
      <x:c r="A11" s="91" t="str">
        <x:v>Obrona</x:v>
      </x:c>
      <x:c r="B11" s="91" t="str">
        <x:v>ZATWIERDZONE</x:v>
      </x:c>
      <x:c r="C11" s="91" t="str">
        <x:v>Tarcza → redukcje procentowe (wynik w dół) → pancerz tymczasowy → pancerz trwały → HP; trucizna omija obrony.</x:v>
      </x:c>
    </x:row>
    <x:row r="12" ht="39" customHeight="1">
      <x:c r="A12" s="91" t="str">
        <x:v>Zniknięcie celu</x:v>
      </x:c>
      <x:c r="B12" s="91" t="str">
        <x:v>ZATWIERDZONE</x:v>
      </x:c>
      <x:c r="C12" s="91" t="str">
        <x:v>Efekt przepada, bez ponownego doboru celu. Automatyczny remis celu: najbardziej lewa legalna jednostka.</x:v>
      </x:c>
    </x:row>
    <x:row r="13" ht="39" customHeight="1">
      <x:c r="A13" s="91" t="str">
        <x:v>Koniec tury</x:v>
      </x:c>
      <x:c r="B13" s="91" t="str">
        <x:v>ZATWIERDZONE</x:v>
      </x:c>
      <x:c r="C13" s="91" t="str">
        <x:v>Zdolności końca tury od lewej do prawej (pełne kaskady), regeneracja, skalowanie ręki, wygasanie efektów.</x:v>
      </x:c>
    </x:row>
    <x:row r="14" ht="39" customHeight="1">
      <x:c r="A14" s="91" t="str">
        <x:v>Skalowanie ręki</x:v>
      </x:c>
      <x:c r="B14" s="91" t="str">
        <x:v>ZATWIERDZONE</x:v>
      </x:c>
      <x:c r="C14" s="91" t="str">
        <x:v>Co każdą własną turę na ręce suma +2 ATK/MAX HP według profilu; efekty ulepszają się co 3 tury.</x:v>
      </x:c>
    </x:row>
    <x:row r="15" ht="39" customHeight="1">
      <x:c r="A15" s="91" t="str">
        <x:v>Ogłuszenie co 3 tury</x:v>
      </x:c>
      <x:c r="B15" s="91" t="str">
        <x:v>ZATWIERDZONE</x:v>
      </x:c>
      <x:c r="C15" s="91" t="str">
        <x:v>+1 obrażenie przy skutecznym ogłuszeniu za każdy próg; czas ogłuszenia bez zmian.</x:v>
      </x:c>
    </x:row>
    <x:row r="16" ht="39" customHeight="1">
      <x:c r="A16" s="91" t="str">
        <x:v>Oczyszczanie co 3 tury</x:v>
      </x:c>
      <x:c r="B16" s="91" t="str">
        <x:v>ZATWIERDZONE</x:v>
      </x:c>
      <x:c r="C16" s="91" t="str">
        <x:v>+1 leczenie sojusznika lub +1 obrażenie wrogiej jednostki za każdy próg, jeśli usunięto przynajmniej 1 odpowiedni efekt.</x:v>
      </x:c>
    </x:row>
    <x:row r="17" ht="39" customHeight="1">
      <x:c r="A17" s="91" t="str">
        <x:v>Odporność co 3 tury</x:v>
      </x:c>
      <x:c r="B17" s="91" t="str">
        <x:v>ZATWIERDZONE</x:v>
      </x:c>
      <x:c r="C17" s="91" t="str">
        <x:v>+1 trwałego pancerza celowi za próg przy pierwszej skutecznej aktywacji odporności po wystawieniu; tylko raz na pobyt źródła na planszy.</x:v>
      </x:c>
    </x:row>
    <x:row r="18" ht="39" customHeight="1">
      <x:c r="A18" s="91" t="str">
        <x:v>Katalog podstawowy</x:v>
      </x:c>
      <x:c r="B18" s="91" t="str">
        <x:v>BEZ ZMIANY</x:v>
      </x:c>
      <x:c r="C18" s="91" t="str">
        <x:v>Zachowano 70 opisów i statystyki z balansu v13 / Game Master v14.</x:v>
      </x:c>
    </x:row>
    <x:row r="19" ht="39" customHeight="1">
      <x:c r="A19" s="91" t="str">
        <x:v>Aukcje</x:v>
      </x:c>
      <x:c r="B19" s="91" t="str">
        <x:v>ODRĘBNY ETAP</x:v>
      </x:c>
      <x:c r="C19" s="91" t="str">
        <x:v>Katalog aukcyjny pozostaje do zaprojektowania i wdrożenia później.</x:v>
      </x:c>
    </x:row>
  </x:sheetData>
  <x:mergeCells>
    <x:mergeCell ref="A1:C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8" hidden="0" customWidth="1"/>
    <x:col min="2" max="2" width="19" hidden="0" customWidth="1"/>
    <x:col min="3" max="3" width="88" hidden="0" customWidth="1"/>
  </x:cols>
  <x:sheetData>
    <x:row r="1" ht="32" customHeight="1">
      <x:c r="A1" s="231" t="str">
        <x:v>ARCHIWUM — ZASADY v16; AKTUALNY ARKUSZ: „ZASADY v17”</x:v>
      </x:c>
      <x:c r="B1" s="231"/>
      <x:c r="C1" s="231"/>
    </x:row>
    <x:row r="2" ht="24" customHeight="1">
      <x:c r="A2" s="233" t="str">
        <x:v>TEMAT</x:v>
      </x:c>
      <x:c r="B2" s="233" t="str">
        <x:v>STATUS</x:v>
      </x:c>
      <x:c r="C2" s="233" t="str">
        <x:v>ZATWIERDZONA REGUŁA</x:v>
      </x:c>
    </x:row>
    <x:row r="3" ht="33" customHeight="1">
      <x:c r="A3" s="91" t="str">
        <x:v>Bank początkowy</x:v>
      </x:c>
      <x:c r="B3" s="91" t="str">
        <x:v>ZATWIERDZONE</x:v>
      </x:c>
      <x:c r="C3" s="91" t="str">
        <x:v>70 unikatowych archetypów × 1 egzemplarz = 70 fizycznych kart w jednym wspólnym banku.</x:v>
      </x:c>
    </x:row>
    <x:row r="4" ht="33" customHeight="1">
      <x:c r="A4" s="91" t="str">
        <x:v>Rozdanie</x:v>
      </x:c>
      <x:c r="B4" s="91" t="str">
        <x:v>ZATWIERDZONE</x:v>
      </x:c>
      <x:c r="C4" s="91" t="str">
        <x:v>Każdy gracz otrzymuje 5 kart na rękę i 5 do własnego stosu; 50 kart zostaje w banku.</x:v>
      </x:c>
    </x:row>
    <x:row r="5" ht="33" customHeight="1">
      <x:c r="A5" s="91" t="str">
        <x:v>Początkowa wymiana (mulligan)</x:v>
      </x:c>
      <x:c r="B5" s="91" t="str">
        <x:v>ZATWIERDZONE</x:v>
      </x:c>
      <x:c r="C5" s="91" t="str">
        <x:v>Każdy wybiera niejawnie 0–3 karty. Karty oddane z ręki są trwale wyłączane z meczu (EXCLUDED_FROM_MATCH).</x:v>
      </x:c>
    </x:row>
    <x:row r="6" ht="33" customHeight="1">
      <x:c r="A6" s="91" t="str">
        <x:v>Kto może dostać kartę odrzuconą?</x:v>
      </x:c>
      <x:c r="B6" s="91" t="str">
        <x:v>NIKT</x:v>
      </x:c>
      <x:c r="C6" s="91" t="str">
        <x:v>Ani odrzucający, ani przeciwnik: nie może zostać ponownie wylosowana, zagrana, wskrzeszona ani przekazana do cmentarza podczas tego meczu.</x:v>
      </x:c>
    </x:row>
    <x:row r="7" ht="33" customHeight="1">
      <x:c r="A7" s="91" t="str">
        <x:v>Losowanie zamienników</x:v>
      </x:c>
      <x:c r="B7" s="91" t="str">
        <x:v>ZATWIERDZONE</x:v>
      </x:c>
      <x:c r="C7" s="91" t="str">
        <x:v>Zamienniki losowane bez zwracania z 50 nierozdanych kart. Maksymalnie sześć zamienników łącznie, zero duplikatów.</x:v>
      </x:c>
    </x:row>
    <x:row r="8" ht="33" customHeight="1">
      <x:c r="A8" s="91" t="str">
        <x:v>Cmentarz a wymiana</x:v>
      </x:c>
      <x:c r="B8" s="91" t="str">
        <x:v>OSOBNE STREFY</x:v>
      </x:c>
      <x:c r="C8" s="91" t="str">
        <x:v>Śmierć/zastąpienie podczas gry → prywatny cmentarz (później przetasowywany); oddanie w mulliganie → strefa całkowicie wykluczona.</x:v>
      </x:c>
    </x:row>
    <x:row r="9" ht="33" customHeight="1">
      <x:c r="A9" s="91" t="str">
        <x:v>Przykład 3+3</x:v>
      </x:c>
      <x:c r="B9" s="91" t="str">
        <x:v>SPRAWDZONE</x:v>
      </x:c>
      <x:c r="C9" s="91" t="str">
        <x:v>20 kart rozdanych; 6 zamienników z banku; 6 kart wyłączonych; 44 karty pozostają w banku.</x:v>
      </x:c>
    </x:row>
    <x:row r="10" ht="33" customHeight="1">
      <x:c r="A10" s="91" t="str">
        <x:v>Limit czasu na mulligan</x:v>
      </x:c>
      <x:c r="B10" s="91" t="str">
        <x:v>BRAK</x:v>
      </x:c>
      <x:c r="C10" s="91" t="str">
        <x:v>Bez zegara. Faza kończy się po wyborach obu graczy.</x:v>
      </x:c>
    </x:row>
    <x:row r="11" ht="33" customHeight="1">
      <x:c r="A11" s="91" t="str">
        <x:v>Limit czasu na turę</x:v>
      </x:c>
      <x:c r="B11" s="91" t="str">
        <x:v>BRAK</x:v>
      </x:c>
      <x:c r="C11" s="91" t="str">
        <x:v>Bez zegara i automatycznego END_TURN; tura kończy się po poleceniu aktywnego gracza.</x:v>
      </x:c>
    </x:row>
    <x:row r="12" ht="33" customHeight="1">
      <x:c r="A12" s="91" t="str">
        <x:v>Limit czasu na licytacje i wybory</x:v>
      </x:c>
      <x:c r="B12" s="91" t="str">
        <x:v>BRAK</x:v>
      </x:c>
      <x:c r="C12" s="91" t="str">
        <x:v>Bez zegara, automatycznego przebijania, auto-passa oraz rozstrzygnięcia przez timeout.</x:v>
      </x:c>
    </x:row>
    <x:row r="13" ht="33" customHeight="1">
      <x:c r="A13" s="91" t="str">
        <x:v>Bezczynność gracza</x:v>
      </x:c>
      <x:c r="B13" s="91" t="str">
        <x:v>BRAK KARY</x:v>
      </x:c>
      <x:c r="C13" s="91" t="str">
        <x:v>Nie wprowadza przegranej, zmiany stanu ani automatycznej akcji; odzyskiwanie po rozłączeniu wymaga implementacji.</x:v>
      </x:c>
    </x:row>
    <x:row r="14" ht="33" customHeight="1">
      <x:c r="A14" s="91" t="str">
        <x:v>Pierwszy gracz</x:v>
      </x:c>
      <x:c r="B14" s="91" t="str">
        <x:v>ZATWIERDZONE</x:v>
      </x:c>
      <x:c r="C14" s="91" t="str">
        <x:v>0 monet / 100 HP / 0 bonusowego pancerza.</x:v>
      </x:c>
    </x:row>
    <x:row r="15" ht="33" customHeight="1">
      <x:c r="A15" s="91" t="str">
        <x:v>Drugi gracz</x:v>
      </x:c>
      <x:c r="B15" s="91" t="str">
        <x:v>ZATWIERDZONE</x:v>
      </x:c>
      <x:c r="C15" s="91" t="str">
        <x:v>3 monety / 100 HP / 0 bonusowego pancerza.</x:v>
      </x:c>
    </x:row>
    <x:row r="16" ht="33" customHeight="1">
      <x:c r="A16" s="91" t="str">
        <x:v>Wspólna kolejka zdarzeń</x:v>
      </x:c>
      <x:c r="B16" s="91" t="str">
        <x:v>ZATWIERDZONE</x:v>
      </x:c>
      <x:c r="C16" s="91" t="str">
        <x:v>Jedna nadrzędna deterministyczna procedura Game Master v15 sekcja 7, bez zmian w v16.</x:v>
      </x:c>
    </x:row>
    <x:row r="17" ht="33" customHeight="1">
      <x:c r="A17" s="91" t="str">
        <x:v>70 kart i statystyki</x:v>
      </x:c>
      <x:c r="B17" s="91" t="str">
        <x:v>BEZ ZMIANY</x:v>
      </x:c>
      <x:c r="C17" s="91" t="str">
        <x:v>Zachowany katalog 70 kart podstawowych z v13/v15, wraz ze skalowaniem ręki.</x:v>
      </x:c>
    </x:row>
    <x:row r="18" ht="33" customHeight="1">
      <x:c r="A18" s="91" t="str">
        <x:v>Aukcje</x:v>
      </x:c>
      <x:c r="B18" s="91" t="str">
        <x:v>ODRĘBNY ETAP</x:v>
      </x:c>
      <x:c r="C18" s="91" t="str">
        <x:v>Projektowanie i wdrożenie katalogu kart aukcyjnych w osobnym etapie; brak zmian w zasadach aukcji.</x:v>
      </x:c>
    </x:row>
  </x:sheetData>
  <x:mergeCells>
    <x:mergeCell ref="A1:C1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94" hidden="0" customWidth="1"/>
  </x:cols>
  <x:sheetData>
    <x:row r="1" ht="32" customHeight="1">
      <x:c r="A1" s="235" t="str">
        <x:v>GAME MASTER v17 | STAN KANONICZNY — 16.10.2026</x:v>
      </x:c>
      <x:c r="B1" s="235" t="str"/>
      <x:c r="C1" s="235" t="str"/>
    </x:row>
    <x:row r="2" ht="26" customHeight="1">
      <x:c r="A2" s="237" t="str">
        <x:v>OBIEKT</x:v>
      </x:c>
      <x:c r="B2" s="237" t="str">
        <x:v>STATUS</x:v>
      </x:c>
      <x:c r="C2" s="237" t="str">
        <x:v>USTALONA ZASADA / ZAKRES</x:v>
      </x:c>
    </x:row>
    <x:row r="3" ht="39" customHeight="1">
      <x:c r="A3" s="91" t="str">
        <x:v>Status projektu</x:v>
      </x:c>
      <x:c r="B3" s="91" t="str">
        <x:v>ZAMKNIĘTE ZASADY</x:v>
      </x:c>
      <x:c r="C3" s="91" t="str">
        <x:v>MVP: specyfikacja bazowa zatwierdzona, pełny silnik gry nie jest jeszcze zaimplementowany.</x:v>
      </x:c>
    </x:row>
    <x:row r="4" ht="39" customHeight="1">
      <x:c r="A4" s="91" t="str">
        <x:v>Pula kart</x:v>
      </x:c>
      <x:c r="B4" s="91" t="str">
        <x:v>ZATWIERDZONE</x:v>
      </x:c>
      <x:c r="C4" s="91" t="str">
        <x:v>Dokładnie 70 fizycznych kart: 70 typów × 1 egzemplarz w jednej wspólnej puli, bez duplikatów.</x:v>
      </x:c>
    </x:row>
    <x:row r="5" ht="39" customHeight="1">
      <x:c r="A5" s="91" t="str">
        <x:v>Startowa ręka i talia</x:v>
      </x:c>
      <x:c r="B5" s="91" t="str">
        <x:v>ZATWIERDZONE</x:v>
      </x:c>
      <x:c r="C5" s="91" t="str">
        <x:v>Każdy gracz otrzymuje 5 kart na rękę i 5 do prywatnego stosu dobierania; pozostaje 50 kart w centralnym banku.</x:v>
      </x:c>
    </x:row>
    <x:row r="6" ht="39" customHeight="1">
      <x:c r="A6" s="91" t="str">
        <x:v>Mulligan</x:v>
      </x:c>
      <x:c r="B6" s="91" t="str">
        <x:v>ZATWIERDZONE</x:v>
      </x:c>
      <x:c r="C6" s="91" t="str">
        <x:v>Każdy gracz niejawnie wymienia 0–3 karty. Odrzucone egzemplarze nie są zwracane do banku, tylko trafiają do EXCLUDED_FROM_MATCH.</x:v>
      </x:c>
    </x:row>
    <x:row r="7" ht="39" customHeight="1">
      <x:c r="A7" s="91" t="str">
        <x:v>Dostęp do odrzuconych</x:v>
      </x:c>
      <x:c r="B7" s="91" t="str">
        <x:v>NIKT</x:v>
      </x:c>
      <x:c r="C7" s="91" t="str">
        <x:v>Żaden z graczy nie może ich już dostać w bieżącym meczu. Nie wracają przez cmentarz, losowanie, dobieranie ani wskrzeszanie.</x:v>
      </x:c>
    </x:row>
    <x:row r="8" ht="39" customHeight="1">
      <x:c r="A8" s="91" t="str">
        <x:v>Zamienniki</x:v>
      </x:c>
      <x:c r="B8" s="91" t="str">
        <x:v>ZATWIERDZONE</x:v>
      </x:c>
      <x:c r="C8" s="91" t="str">
        <x:v>Losowanie bez zwracania z pozostałych 50 kart; dwie wymiany 3+3 dają 6 wyłączonych kart i 44 w banku.</x:v>
      </x:c>
    </x:row>
    <x:row r="9" ht="39" customHeight="1">
      <x:c r="A9" s="91" t="str">
        <x:v>Odrzucenie vs cmentarz</x:v>
      </x:c>
      <x:c r="B9" s="91" t="str">
        <x:v>ROZDZIELONE</x:v>
      </x:c>
      <x:c r="C9" s="91" t="str">
        <x:v>Mulligan → EXCLUDED_FROM_MATCH. Śmierć lub zamiana jednostki na planszy → własny cmentarz.</x:v>
      </x:c>
    </x:row>
    <x:row r="10" ht="39" customHeight="1">
      <x:c r="A10" s="91" t="str">
        <x:v>Bohaterowie</x:v>
      </x:c>
      <x:c r="B10" s="91" t="str">
        <x:v>ZATWIERDZONE</x:v>
      </x:c>
      <x:c r="C10" s="91" t="str">
        <x:v>Obaj zaczynają ze 100 HP i 0 dodatkowego pancerza.</x:v>
      </x:c>
    </x:row>
    <x:row r="11" ht="39" customHeight="1">
      <x:c r="A11" s="91" t="str">
        <x:v>Kolejność graczy</x:v>
      </x:c>
      <x:c r="B11" s="91" t="str">
        <x:v>ZATWIERDZONE</x:v>
      </x:c>
      <x:c r="C11" s="91" t="str">
        <x:v>Pierwszy gracz losowany; pierwszy ma 0 monet, drugi 3 monety na start.</x:v>
      </x:c>
    </x:row>
    <x:row r="12" ht="39" customHeight="1">
      <x:c r="A12" s="91" t="str">
        <x:v>Dochód</x:v>
      </x:c>
      <x:c r="B12" s="91" t="str">
        <x:v>ZATWIERDZONE</x:v>
      </x:c>
      <x:c r="C12" s="91" t="str">
        <x:v>Po każdej pełnej rundzie obaj otrzymują +1 monetę, przed ewentualną aukcją.</x:v>
      </x:c>
    </x:row>
    <x:row r="13" ht="39" customHeight="1">
      <x:c r="A13" s="91" t="str">
        <x:v>Limit czasu</x:v>
      </x:c>
      <x:c r="B13" s="91" t="str">
        <x:v>BRAK</x:v>
      </x:c>
      <x:c r="C13" s="91" t="str">
        <x:v>Brak timera w mulliganie, turze, wyborach i przyszłych licytacjach. Brak auto-passów oraz przegranej za brak aktywności.</x:v>
      </x:c>
    </x:row>
    <x:row r="14" ht="39" customHeight="1">
      <x:c r="A14" s="91" t="str">
        <x:v>Plansza</x:v>
      </x:c>
      <x:c r="B14" s="91" t="str">
        <x:v>ZATWIERDZONE</x:v>
      </x:c>
      <x:c r="C14" s="91" t="str">
        <x:v>Maksymalnie 5 jednostek na gracza, nowa zawsze od prawej, tylko jedna jednostka zagrywana w turze.</x:v>
      </x:c>
    </x:row>
    <x:row r="15" ht="39" customHeight="1">
      <x:c r="A15" s="91" t="str">
        <x:v>Skalowanie ręki</x:v>
      </x:c>
      <x:c r="B15" s="91" t="str">
        <x:v>ZATWIERDZONE</x:v>
      </x:c>
      <x:c r="C15" s="91" t="str">
        <x:v>Co koniec własnej tury: łącznie +2 ATK/HP na kartę w ręce według profilu (2/0, 1/1, 0/2).</x:v>
      </x:c>
    </x:row>
    <x:row r="16" ht="39" customHeight="1">
      <x:c r="A16" s="91" t="str">
        <x:v>Wzmocnienie zdolności</x:v>
      </x:c>
      <x:c r="B16" s="91" t="str">
        <x:v>ZATWIERDZONE</x:v>
      </x:c>
      <x:c r="C16" s="91" t="str">
        <x:v>Co 3 tury trzymania w ręce następuje wzmocnienie umiejętności. Cztery cechy jakościowe i trzy rodzinne wyjątki szczegółowo w Game Master.</x:v>
      </x:c>
    </x:row>
    <x:row r="17" ht="39" customHeight="1">
      <x:c r="A17" s="91" t="str">
        <x:v>Ogłuszenie</x:v>
      </x:c>
      <x:c r="B17" s="91" t="str">
        <x:v>ZATWIERDZONE</x:v>
      </x:c>
      <x:c r="C17" s="91" t="str">
        <x:v>Co próg 3 tur: +1 obrażenie przy nałożeniu; czas ogłuszenia bez zmian.</x:v>
      </x:c>
    </x:row>
    <x:row r="18" ht="39" customHeight="1">
      <x:c r="A18" s="91" t="str">
        <x:v>Oczyszczanie</x:v>
      </x:c>
      <x:c r="B18" s="91" t="str">
        <x:v>ZATWIERDZONE</x:v>
      </x:c>
      <x:c r="C18" s="91" t="str">
        <x:v>Co próg 3 tur: +1 leczenia własnego celu lub +1 obrażenie wobec wroga przy użytecznym oczyszczeniu.</x:v>
      </x:c>
    </x:row>
    <x:row r="19" ht="39" customHeight="1">
      <x:c r="A19" s="91" t="str">
        <x:v>Odporność</x:v>
      </x:c>
      <x:c r="B19" s="91" t="str">
        <x:v>ZATWIERDZONE</x:v>
      </x:c>
      <x:c r="C19" s="91" t="str">
        <x:v>Co próg 3 tur: +1 trwałego pancerza przy pierwszej skutecznej aktywacji po wystawieniu.</x:v>
      </x:c>
    </x:row>
    <x:row r="20" ht="39" customHeight="1">
      <x:c r="A20" s="91" t="str">
        <x:v>Zdarzenia i reakcje</x:v>
      </x:c>
      <x:c r="B20" s="91" t="str">
        <x:v>JEDNA KOLEJKA</x:v>
      </x:c>
      <x:c r="C20" s="91" t="str">
        <x:v>Obowiązuje sekcja 7 GAME_MASTER.md i data/event_order_v17.json; żadna karta nie zmienia kolejności zdarzeń.</x:v>
      </x:c>
    </x:row>
    <x:row r="21" ht="39" customHeight="1">
      <x:c r="A21" s="91" t="str">
        <x:v>Katalog 70 kart</x:v>
      </x:c>
      <x:c r="B21" s="91" t="str">
        <x:v>NIEZMIENIONY</x:v>
      </x:c>
      <x:c r="C21" s="91" t="str">
        <x:v>Nazwy, bazowe ATK/HP, teksty zdolności i przyrosty pozostają zgodne z balansem v13.</x:v>
      </x:c>
    </x:row>
    <x:row r="22" ht="39" customHeight="1">
      <x:c r="A22" s="91" t="str">
        <x:v>Pierwsze MVP</x:v>
      </x:c>
      <x:c r="B22" s="91" t="str">
        <x:v>ETAP IMPLEMENTACJI</x:v>
      </x:c>
      <x:c r="C22" s="91" t="str">
        <x:v>Zbudować działający silnik dla 70 kart, walki, statusów, monet, efektów, ręki i dwóch graczy; bez ofert i kart aukcyjnych.</x:v>
      </x:c>
    </x:row>
    <x:row r="23" ht="39" customHeight="1">
      <x:c r="A23" s="91" t="str">
        <x:v>Karty aukcyjne</x:v>
      </x:c>
      <x:c r="B23" s="91" t="str">
        <x:v>PÓŹNIEJ</x:v>
      </x:c>
      <x:c r="C23" s="91" t="str">
        <x:v>Około 36 unikatowych archetypów i 3 rzadkości: katalog wciąż niezatwierdzony.</x:v>
      </x:c>
    </x:row>
    <x:row r="24" ht="39" customHeight="1">
      <x:c r="A24" s="91" t="str">
        <x:v>Balans pełnej gry</x:v>
      </x:c>
      <x:c r="B24" s="91" t="str">
        <x:v>DO WALIDACJI</x:v>
      </x:c>
      <x:c r="C24" s="91" t="str">
        <x:v>Historyczny symulator był uproszczony; finalny balans wymaga prawdziwego silnika.</x:v>
      </x:c>
    </x:row>
    <x:row r="25" ht="39" customHeight="1">
      <x:c r="A25" s="91" t="str">
        <x:v>Główne źródło</x:v>
      </x:c>
      <x:c r="B25" s="91" t="str">
        <x:v>GAME MASTER v17</x:v>
      </x:c>
      <x:c r="C25" s="91" t="str">
        <x:v>Kanoniczny pakiet: GAME_MASTER.md + JSON v17 + katalog 70 kart; ten arkusz jest krótkim indeksem.</x:v>
      </x:c>
    </x:row>
  </x:sheetData>
  <x:mergeCells>
    <x:mergeCell ref="A1:C1"/>
  </x:mergeCells>
  <x:pageMargins left="0.7" right="0.7" top="0.75" bottom="0.75" header="0.3" footer="0.3"/>
</x:worksheet>
</file>