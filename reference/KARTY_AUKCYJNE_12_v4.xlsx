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b1f36353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etypy" sheetId="1" r:id="R3e14e397579c4c1c"/>
    <x:sheet xmlns:r="http://schemas.openxmlformats.org/officeDocument/2006/relationships" name="Warianty 36" sheetId="2" r:id="R3550739a89904d0e"/>
    <x:sheet xmlns:r="http://schemas.openxmlformats.org/officeDocument/2006/relationships" name="Rundy 3-18" sheetId="3" r:id="Re00c36b98ec84d19"/>
    <x:sheet xmlns:r="http://schemas.openxmlformats.org/officeDocument/2006/relationships" name="Przeglad" sheetId="4" r:id="R411b3a5335fd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28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5a633482e4813" /><Relationship Type="http://schemas.openxmlformats.org/officeDocument/2006/relationships/theme" Target="/xl/theme/theme1.xml" Id="R42e467d877734bf1" /><Relationship Type="http://schemas.openxmlformats.org/officeDocument/2006/relationships/sharedStrings" Target="/xl/sharedStrings.xml" Id="R72a91a9b16ec4fa2" /><Relationship Type="http://schemas.openxmlformats.org/officeDocument/2006/relationships/worksheet" Target="/xl/worksheets/sheet1.xml" Id="R3e14e397579c4c1c" /><Relationship Type="http://schemas.openxmlformats.org/officeDocument/2006/relationships/worksheet" Target="/xl/worksheets/sheet2.xml" Id="R3550739a89904d0e" /><Relationship Type="http://schemas.openxmlformats.org/officeDocument/2006/relationships/worksheet" Target="/xl/worksheets/sheet3.xml" Id="Re00c36b98ec84d19" /><Relationship Type="http://schemas.openxmlformats.org/officeDocument/2006/relationships/worksheet" Target="/xl/worksheets/sheet4.xml" Id="R411b3a5335fd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34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" max="1" width="12" hidden="0" customWidth="1"/>
  </x:cols>
  <x:sheetData>
    <x:row r="1" ht="30" customHeight="1">
      <x:c r="A1" s="3" t="str">
        <x:v>ID</x:v>
      </x:c>
      <x:c r="B1" s="3" t="str">
        <x:v>Archetyp</x:v>
      </x:c>
      <x:c r="C1" s="3" t="str">
        <x:v>Aktywacja</x:v>
      </x:c>
      <x:c r="D1" s="3" t="str">
        <x:v>ATK R3</x:v>
      </x:c>
      <x:c r="E1" s="3" t="str">
        <x:v>HP R3</x:v>
      </x:c>
      <x:c r="F1" s="3" t="str">
        <x:v>Suma</x:v>
      </x:c>
      <x:c r="G1" s="3" t="str">
        <x:v>ATK v3</x:v>
      </x:c>
      <x:c r="H1" s="3" t="str">
        <x:v>HP v3</x:v>
      </x:c>
      <x:c r="I1" s="3" t="str">
        <x:v>Status</x:v>
      </x:c>
    </x:row>
    <x:row r="2">
      <x:c r="A2" t="str">
        <x:v>A001</x:v>
      </x:c>
      <x:c r="B2" t="str">
        <x:v>Władca Dusz</x:v>
      </x:c>
      <x:c r="C2" t="str">
        <x:v>Przy śmierci</x:v>
      </x:c>
      <x:c r="D2" t="n">
        <x:v>3</x:v>
      </x:c>
      <x:c r="E2" t="n">
        <x:v>8</x:v>
      </x:c>
      <x:c r="F2" t="n">
        <x:f>D2+E2</x:f>
        <x:v>11</x:v>
      </x:c>
      <x:c r="G2" t="n">
        <x:v>3</x:v>
      </x:c>
      <x:c r="H2" t="n">
        <x:v>8</x:v>
      </x:c>
      <x:c r="I2" t="str">
        <x:v>Bez zmian</x:v>
      </x:c>
    </x:row>
    <x:row r="3">
      <x:c r="A3" t="str">
        <x:v>A002</x:v>
      </x:c>
      <x:c r="B3" t="str">
        <x:v>Generał Oddziału Natarcia</x:v>
      </x:c>
      <x:c r="C3" t="str">
        <x:v>Pasywna</x:v>
      </x:c>
      <x:c r="D3" t="n">
        <x:v>3</x:v>
      </x:c>
      <x:c r="E3" t="n">
        <x:v>8</x:v>
      </x:c>
      <x:c r="F3" t="n">
        <x:f>D3+E3</x:f>
        <x:v>11</x:v>
      </x:c>
      <x:c r="G3" t="n">
        <x:v>2</x:v>
      </x:c>
      <x:c r="H3" t="n">
        <x:v>9</x:v>
      </x:c>
      <x:c r="I3" t="str">
        <x:v>Korekta</x:v>
      </x:c>
    </x:row>
    <x:row r="4">
      <x:c r="A4" t="str">
        <x:v>A003</x:v>
      </x:c>
      <x:c r="B4" t="str">
        <x:v>Matka Kości</x:v>
      </x:c>
      <x:c r="C4" t="str">
        <x:v>Przy śmierci</x:v>
      </x:c>
      <x:c r="D4" t="n">
        <x:v>2</x:v>
      </x:c>
      <x:c r="E4" t="n">
        <x:v>9</x:v>
      </x:c>
      <x:c r="F4" t="n">
        <x:f>D4+E4</x:f>
        <x:v>11</x:v>
      </x:c>
      <x:c r="G4" t="n">
        <x:v>2</x:v>
      </x:c>
      <x:c r="H4" t="n">
        <x:v>9</x:v>
      </x:c>
      <x:c r="I4" t="str">
        <x:v>Bez zmian</x:v>
      </x:c>
    </x:row>
    <x:row r="5">
      <x:c r="A5" t="str">
        <x:v>A004</x:v>
      </x:c>
      <x:c r="B5" t="str">
        <x:v>Regent Krzywych Zwierciadeł</x:v>
      </x:c>
      <x:c r="C5" t="str">
        <x:v>Przy wystawieniu</x:v>
      </x:c>
      <x:c r="D5" t="n">
        <x:v>4</x:v>
      </x:c>
      <x:c r="E5" t="n">
        <x:v>7</x:v>
      </x:c>
      <x:c r="F5" t="n">
        <x:f>D5+E5</x:f>
        <x:v>11</x:v>
      </x:c>
      <x:c r="G5" t="n">
        <x:v>4</x:v>
      </x:c>
      <x:c r="H5" t="n">
        <x:v>7</x:v>
      </x:c>
      <x:c r="I5" t="str">
        <x:v>Bez zmian</x:v>
      </x:c>
    </x:row>
    <x:row r="6">
      <x:c r="A6" t="str">
        <x:v>A005</x:v>
      </x:c>
      <x:c r="B6" t="str">
        <x:v>Bankier Widm</x:v>
      </x:c>
      <x:c r="C6" t="str">
        <x:v>Przy wystawieniu</x:v>
      </x:c>
      <x:c r="D6" t="n">
        <x:v>2</x:v>
      </x:c>
      <x:c r="E6" t="n">
        <x:v>9</x:v>
      </x:c>
      <x:c r="F6" t="n">
        <x:f>D6+E6</x:f>
        <x:v>11</x:v>
      </x:c>
      <x:c r="G6" t="n">
        <x:v>1</x:v>
      </x:c>
      <x:c r="H6" t="n">
        <x:v>10</x:v>
      </x:c>
      <x:c r="I6" t="str">
        <x:v>Korekta</x:v>
      </x:c>
    </x:row>
    <x:row r="7">
      <x:c r="A7" t="str">
        <x:v>A006</x:v>
      </x:c>
      <x:c r="B7" t="str">
        <x:v>Królowa Zakazanych Słów</x:v>
      </x:c>
      <x:c r="C7" t="str">
        <x:v>Przy wystawieniu</x:v>
      </x:c>
      <x:c r="D7" t="n">
        <x:v>2</x:v>
      </x:c>
      <x:c r="E7" t="n">
        <x:v>9</x:v>
      </x:c>
      <x:c r="F7" t="n">
        <x:f>D7+E7</x:f>
        <x:v>11</x:v>
      </x:c>
      <x:c r="G7" t="n">
        <x:v>2</x:v>
      </x:c>
      <x:c r="H7" t="n">
        <x:v>9</x:v>
      </x:c>
      <x:c r="I7" t="str">
        <x:v>Bez zmian</x:v>
      </x:c>
    </x:row>
    <x:row r="8">
      <x:c r="A8" t="str">
        <x:v>A007</x:v>
      </x:c>
      <x:c r="B8" t="str">
        <x:v>Strażnik Ostatniego Tchnienia</x:v>
      </x:c>
      <x:c r="C8" t="str">
        <x:v>Pasywna</x:v>
      </x:c>
      <x:c r="D8" t="n">
        <x:v>2</x:v>
      </x:c>
      <x:c r="E8" t="n">
        <x:v>9</x:v>
      </x:c>
      <x:c r="F8" t="n">
        <x:f>D8+E8</x:f>
        <x:v>11</x:v>
      </x:c>
      <x:c r="G8" t="n">
        <x:v>1</x:v>
      </x:c>
      <x:c r="H8" t="n">
        <x:v>10</x:v>
      </x:c>
      <x:c r="I8" t="str">
        <x:v>Korekta</x:v>
      </x:c>
    </x:row>
    <x:row r="9">
      <x:c r="A9" t="str">
        <x:v>A008</x:v>
      </x:c>
      <x:c r="B9" t="str">
        <x:v>Architekt Pustki</x:v>
      </x:c>
      <x:c r="C9" t="str">
        <x:v>Przy wystawieniu</x:v>
      </x:c>
      <x:c r="D9" t="n">
        <x:v>3</x:v>
      </x:c>
      <x:c r="E9" t="n">
        <x:v>8</x:v>
      </x:c>
      <x:c r="F9" t="n">
        <x:f>D9+E9</x:f>
        <x:v>11</x:v>
      </x:c>
      <x:c r="G9" t="n">
        <x:v>3</x:v>
      </x:c>
      <x:c r="H9" t="n">
        <x:v>8</x:v>
      </x:c>
      <x:c r="I9" t="str">
        <x:v>Bez zmian</x:v>
      </x:c>
    </x:row>
    <x:row r="10">
      <x:c r="A10" t="str">
        <x:v>A009</x:v>
      </x:c>
      <x:c r="B10" t="str">
        <x:v>Złodziej Wspomnień</x:v>
      </x:c>
      <x:c r="C10" t="str">
        <x:v>Przy wystawieniu</x:v>
      </x:c>
      <x:c r="D10" t="n">
        <x:v>2</x:v>
      </x:c>
      <x:c r="E10" t="n">
        <x:v>9</x:v>
      </x:c>
      <x:c r="F10" t="n">
        <x:f>D10+E10</x:f>
        <x:v>11</x:v>
      </x:c>
      <x:c r="G10" t="n">
        <x:v>2</x:v>
      </x:c>
      <x:c r="H10" t="n">
        <x:v>9</x:v>
      </x:c>
      <x:c r="I10" t="str">
        <x:v>Bez zmian</x:v>
      </x:c>
    </x:row>
    <x:row r="11">
      <x:c r="A11" t="str">
        <x:v>A010</x:v>
      </x:c>
      <x:c r="B11" t="str">
        <x:v>Królowa Tysiąca Twarzy</x:v>
      </x:c>
      <x:c r="C11" t="str">
        <x:v>Na koniec tury</x:v>
      </x:c>
      <x:c r="D11" t="n">
        <x:v>4</x:v>
      </x:c>
      <x:c r="E11" t="n">
        <x:v>7</x:v>
      </x:c>
      <x:c r="F11" t="n">
        <x:f>D11+E11</x:f>
        <x:v>11</x:v>
      </x:c>
      <x:c r="G11" t="n">
        <x:v>2</x:v>
      </x:c>
      <x:c r="H11" t="n">
        <x:v>9</x:v>
      </x:c>
      <x:c r="I11" t="str">
        <x:v>Korekta</x:v>
      </x:c>
    </x:row>
    <x:row r="12">
      <x:c r="A12" t="str">
        <x:v>A011</x:v>
      </x:c>
      <x:c r="B12" t="str">
        <x:v>Jeździec Czarnej Komety</x:v>
      </x:c>
      <x:c r="C12" t="str">
        <x:v>Przy śmierci</x:v>
      </x:c>
      <x:c r="D12" t="n">
        <x:v>6</x:v>
      </x:c>
      <x:c r="E12" t="n">
        <x:v>5</x:v>
      </x:c>
      <x:c r="F12" t="n">
        <x:f>D12+E12</x:f>
        <x:v>11</x:v>
      </x:c>
      <x:c r="G12" t="n">
        <x:v>6</x:v>
      </x:c>
      <x:c r="H12" t="n">
        <x:v>5</x:v>
      </x:c>
      <x:c r="I12" t="str">
        <x:v>Bez zmian</x:v>
      </x:c>
    </x:row>
    <x:row r="13">
      <x:c r="A13" t="str">
        <x:v>A012</x:v>
      </x:c>
      <x:c r="B13" t="str">
        <x:v>Tkaczka Drugiego Losu</x:v>
      </x:c>
      <x:c r="C13" t="str">
        <x:v>Przy wystawieniu</x:v>
      </x:c>
      <x:c r="D13" t="n">
        <x:v>3</x:v>
      </x:c>
      <x:c r="E13" t="n">
        <x:v>8</x:v>
      </x:c>
      <x:c r="F13" t="n">
        <x:f>D13+E13</x:f>
        <x:v>11</x:v>
      </x:c>
      <x:c r="G13" t="n">
        <x:v>1</x:v>
      </x:c>
      <x:c r="H13" t="n">
        <x:v>10</x:v>
      </x:c>
      <x:c r="I13" t="str">
        <x:v>Korekta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6" hidden="0" customWidth="1"/>
    <x:col min="4" max="4" width="24" hidden="0" customWidth="1"/>
    <x:col min="5" max="5" width="93" hidden="0" customWidth="1"/>
  </x:cols>
  <x:sheetData>
    <x:row r="1" ht="30" customHeight="1">
      <x:c r="A1" s="3" t="str">
        <x:v>ID</x:v>
      </x:c>
      <x:c r="B1" s="3" t="str">
        <x:v>Nazwa</x:v>
      </x:c>
      <x:c r="C1" s="3" t="str">
        <x:v>Rzadkość</x:v>
      </x:c>
      <x:c r="D1" s="3" t="str">
        <x:v>Trigger</x:v>
      </x:c>
      <x:c r="E1" s="3" t="str">
        <x:v>Opis efektu</x:v>
      </x:c>
    </x:row>
    <x:row r="2" ht="75" customHeight="1">
      <x:c r="A2" t="str">
        <x:v>A001</x:v>
      </x:c>
      <x:c r="B2" t="str">
        <x:v>Władca Dusz</x:v>
      </x:c>
      <x:c r="C2" t="str">
        <x:v>Podstawowa</x:v>
      </x:c>
      <x:c r="D2" t="str">
        <x:v>Przy śmierci</x:v>
      </x:c>
      <x:c r="E2" s="6" t="str">
        <x:v>Zabij jedną wskazaną wrogą jednostkę. Wywołuje jej zwykłą śmierć i legalne efekty „Przy śmierci”.</x:v>
      </x:c>
    </x:row>
    <x:row r="3" ht="75" customHeight="1">
      <x:c r="A3" t="str">
        <x:v>A001</x:v>
      </x:c>
      <x:c r="B3" t="str">
        <x:v>Władca Dusz</x:v>
      </x:c>
      <x:c r="C3" t="str">
        <x:v>Rzadka</x:v>
      </x:c>
      <x:c r="D3" t="str">
        <x:v>Przy śmierci</x:v>
      </x:c>
      <x:c r="E3" s="6" t="str">
        <x:v>Wybierz: zabij jedną wskazaną wrogą jednostkę ALBO przejmij jedną wskazaną wrogą jednostkę na stałe, jeśli masz wolne miejsce na planszy. Przejęta zachowuje rany i statusy.</x:v>
      </x:c>
    </x:row>
    <x:row r="4" ht="75" customHeight="1">
      <x:c r="A4" t="str">
        <x:v>A001</x:v>
      </x:c>
      <x:c r="B4" t="str">
        <x:v>Władca Dusz</x:v>
      </x:c>
      <x:c r="C4" t="str">
        <x:v>Legendarna</x:v>
      </x:c>
      <x:c r="D4" t="str">
        <x:v>Przy śmierci</x:v>
      </x:c>
      <x:c r="E4" s="6" t="str">
        <x:v>Wybierz efekt podstawowy, efekt rzadki ALBO przejmij jedną wskazaną wrogą jednostkę i nadaj jej „Przy śmierci: przejmij jedną wskazaną wrogą jednostkę”. Nadanie nie kumuluje się na tej samej jednostce.</x:v>
      </x:c>
    </x:row>
    <x:row r="5" ht="75" customHeight="1">
      <x:c r="A5" t="str">
        <x:v>A002</x:v>
      </x:c>
      <x:c r="B5" t="str">
        <x:v>Generał Oddziału Natarcia</x:v>
      </x:c>
      <x:c r="C5" t="str">
        <x:v>Podstawowa</x:v>
      </x:c>
      <x:c r="D5" t="str">
        <x:v>Pasywna</x:v>
      </x:c>
      <x:c r="E5" s="6" t="str">
        <x:v>Gdy Generał jest na polu bitwy, wszystkie jednostki na obu planszach (także wrogie i sam Generał) mają +1 ATK. Premia znika po opuszczeniu przez Generała planszy.</x:v>
      </x:c>
    </x:row>
    <x:row r="6" ht="75" customHeight="1">
      <x:c r="A6" t="str">
        <x:v>A002</x:v>
      </x:c>
      <x:c r="B6" t="str">
        <x:v>Generał Oddziału Natarcia</x:v>
      </x:c>
      <x:c r="C6" t="str">
        <x:v>Rzadka</x:v>
      </x:c>
      <x:c r="D6" t="str">
        <x:v>Pasywna</x:v>
      </x:c>
      <x:c r="E6" s="6" t="str">
        <x:v>Gdy Generał jest na polu bitwy, jedna wybrana własna jednostka otrzymuje Podwójny atak i zadaje podwójne obrażenia swoimi atakami. Premia działa tylko, gdy Generał jest na planszy.</x:v>
      </x:c>
    </x:row>
    <x:row r="7" ht="75" customHeight="1">
      <x:c r="A7" t="str">
        <x:v>A002</x:v>
      </x:c>
      <x:c r="B7" t="str">
        <x:v>Generał Oddziału Natarcia</x:v>
      </x:c>
      <x:c r="C7" t="str">
        <x:v>Legendarna</x:v>
      </x:c>
      <x:c r="D7" t="str">
        <x:v>Pasywna</x:v>
      </x:c>
      <x:c r="E7" s="6" t="str">
        <x:v>Gdy Generał jest na polu bitwy, każda NOWO zagrana przez Ciebie jednostka otrzymuje Podwójny atak i zadaje podwójne obrażenia swoimi atakami. Premia działa tylko, gdy Generał jest na planszy.</x:v>
      </x:c>
    </x:row>
    <x:row r="8" ht="75" customHeight="1">
      <x:c r="A8" t="str">
        <x:v>A003</x:v>
      </x:c>
      <x:c r="B8" t="str">
        <x:v>Matka Kości</x:v>
      </x:c>
      <x:c r="C8" t="str">
        <x:v>Podstawowa</x:v>
      </x:c>
      <x:c r="D8" t="str">
        <x:v>Przy śmierci</x:v>
      </x:c>
      <x:c r="E8" s="6" t="str">
        <x:v>Wybierz jedną inną własną podstawową jednostkę z cmentarza. Przenieś ją na rękę.</x:v>
      </x:c>
    </x:row>
    <x:row r="9" ht="75" customHeight="1">
      <x:c r="A9" t="str">
        <x:v>A003</x:v>
      </x:c>
      <x:c r="B9" t="str">
        <x:v>Matka Kości</x:v>
      </x:c>
      <x:c r="C9" t="str">
        <x:v>Rzadka</x:v>
      </x:c>
      <x:c r="D9" t="str">
        <x:v>Przy śmierci</x:v>
      </x:c>
      <x:c r="E9" s="6" t="str">
        <x:v>Wybierz efekt podstawowy ALBO przywróć jedną inną własną podstawową jednostkę z cmentarza bezpośrednio na prawe wolne pole planszy z 1 HP, bez aktywowania „Przy wystawieniu”; jeśli brak pola, przenieś ją na rękę.</x:v>
      </x:c>
    </x:row>
    <x:row r="10" ht="75" customHeight="1">
      <x:c r="A10" t="str">
        <x:v>A003</x:v>
      </x:c>
      <x:c r="B10" t="str">
        <x:v>Matka Kości</x:v>
      </x:c>
      <x:c r="C10" t="str">
        <x:v>Legendarna</x:v>
      </x:c>
      <x:c r="D10" t="str">
        <x:v>Przy śmierci</x:v>
      </x:c>
      <x:c r="E10" s="6" t="str">
        <x:v>Wybierz efekt podstawowy, rzadki ALBO przywróć do dwóch różnych innych własnych podstawowych jednostek z cmentarza: pierwszą na wolne prawe pole z pełnym MAX HP, drugą na rękę. Jeśli brak pola, obie na rękę. Nie uruchamiaj „Przy wystawieniu”.</x:v>
      </x:c>
    </x:row>
    <x:row r="11" ht="75" customHeight="1">
      <x:c r="A11" t="str">
        <x:v>A004</x:v>
      </x:c>
      <x:c r="B11" t="str">
        <x:v>Regent Krzywych Zwierciadeł</x:v>
      </x:c>
      <x:c r="C11" t="str">
        <x:v>Podstawowa</x:v>
      </x:c>
      <x:c r="D11" t="str">
        <x:v>Przy wystawieniu</x:v>
      </x:c>
      <x:c r="E11" s="6" t="str">
        <x:v>Wskaż jedną inną własną jednostkę na planszy. Stwórz jej efemeryczną kopię i od razu zagraj ją na swoją planszę.</x:v>
      </x:c>
    </x:row>
    <x:row r="12" ht="75" customHeight="1">
      <x:c r="A12" t="str">
        <x:v>A004</x:v>
      </x:c>
      <x:c r="B12" t="str">
        <x:v>Regent Krzywych Zwierciadeł</x:v>
      </x:c>
      <x:c r="C12" t="str">
        <x:v>Rzadka</x:v>
      </x:c>
      <x:c r="D12" t="str">
        <x:v>Przy wystawieniu</x:v>
      </x:c>
      <x:c r="E12" s="6" t="str">
        <x:v>Wskaż dowolną inną jednostkę na dowolnej planszy. Stwórz jej efemeryczną kopię i od razu zagraj ją na swoją planszę.</x:v>
      </x:c>
    </x:row>
    <x:row r="13" ht="75" customHeight="1">
      <x:c r="A13" t="str">
        <x:v>A004</x:v>
      </x:c>
      <x:c r="B13" t="str">
        <x:v>Regent Krzywych Zwierciadeł</x:v>
      </x:c>
      <x:c r="C13" t="str">
        <x:v>Legendarna</x:v>
      </x:c>
      <x:c r="D13" t="str">
        <x:v>Przy wystawieniu</x:v>
      </x:c>
      <x:c r="E13" s="6" t="str">
        <x:v>Wskaż dowolną inną jednostkę na dowolnej planszy. Stwórz jej efemeryczną kopię, zachowując jej bieżące bonusy i efekty, nadaj kopii Tarczę i od razu zagraj ją na swoją planszę.</x:v>
      </x:c>
    </x:row>
    <x:row r="14" ht="75" customHeight="1">
      <x:c r="A14" t="str">
        <x:v>A005</x:v>
      </x:c>
      <x:c r="B14" t="str">
        <x:v>Bankier Widm</x:v>
      </x:c>
      <x:c r="C14" t="str">
        <x:v>Podstawowa</x:v>
      </x:c>
      <x:c r="D14" t="str">
        <x:v>Przy wystawieniu</x:v>
      </x:c>
      <x:c r="E14" s="6" t="str">
        <x:v>Ukradnij przeciwnikowi do 3 monet (przenieś je do swojego salda), a następnie DODATKOWO otrzymaj 3 nowe monety.</x:v>
      </x:c>
    </x:row>
    <x:row r="15" ht="75" customHeight="1">
      <x:c r="A15" t="str">
        <x:v>A005</x:v>
      </x:c>
      <x:c r="B15" t="str">
        <x:v>Bankier Widm</x:v>
      </x:c>
      <x:c r="C15" t="str">
        <x:v>Rzadka</x:v>
      </x:c>
      <x:c r="D15" t="str">
        <x:v>Przy wystawieniu</x:v>
      </x:c>
      <x:c r="E15" s="6" t="str">
        <x:v>Ukradnij przeciwnikowi do większej z wartości: 3 monety albo połowa jego aktualnego salda (zaokrąglona w górę). Następnie DODATKOWO otrzymaj 4 nowe monety.</x:v>
      </x:c>
    </x:row>
    <x:row r="16" ht="75" customHeight="1">
      <x:c r="A16" t="str">
        <x:v>A005</x:v>
      </x:c>
      <x:c r="B16" t="str">
        <x:v>Bankier Widm</x:v>
      </x:c>
      <x:c r="C16" t="str">
        <x:v>Legendarna</x:v>
      </x:c>
      <x:c r="D16" t="str">
        <x:v>Przy wystawieniu</x:v>
      </x:c>
      <x:c r="E16" s="6" t="str">
        <x:v>Ukradnij przeciwnikowi wszystkie jego monety, a następnie DODATKOWO otrzymaj 5 nowych monet.</x:v>
      </x:c>
    </x:row>
    <x:row r="17" ht="75" customHeight="1">
      <x:c r="A17" t="str">
        <x:v>A006</x:v>
      </x:c>
      <x:c r="B17" t="str">
        <x:v>Królowa Zakazanych Słów</x:v>
      </x:c>
      <x:c r="C17" t="str">
        <x:v>Podstawowa</x:v>
      </x:c>
      <x:c r="D17" t="str">
        <x:v>Przy wystawieniu</x:v>
      </x:c>
      <x:c r="E17" s="6" t="str">
        <x:v>Wycisz jedną wskazaną wrogą jednostkę do końca jej najbliższej własnej tury.</x:v>
      </x:c>
    </x:row>
    <x:row r="18" ht="75" customHeight="1">
      <x:c r="A18" t="str">
        <x:v>A006</x:v>
      </x:c>
      <x:c r="B18" t="str">
        <x:v>Królowa Zakazanych Słów</x:v>
      </x:c>
      <x:c r="C18" t="str">
        <x:v>Rzadka</x:v>
      </x:c>
      <x:c r="D18" t="str">
        <x:v>Przy wystawieniu</x:v>
      </x:c>
      <x:c r="E18" s="6" t="str">
        <x:v>Wycisz do dwóch różnych wskazanych wrogich jednostek do końca ich najbliższej własnej tury.</x:v>
      </x:c>
    </x:row>
    <x:row r="19" ht="75" customHeight="1">
      <x:c r="A19" t="str">
        <x:v>A006</x:v>
      </x:c>
      <x:c r="B19" t="str">
        <x:v>Królowa Zakazanych Słów</x:v>
      </x:c>
      <x:c r="C19" t="str">
        <x:v>Legendarna</x:v>
      </x:c>
      <x:c r="D19" t="str">
        <x:v>Przy wystawieniu</x:v>
      </x:c>
      <x:c r="E19" s="6" t="str">
        <x:v>Wycisz wszystkie jednostki przeciwnika obecne na planszy do końca ich najbliższej własnej tury.</x:v>
      </x:c>
    </x:row>
    <x:row r="20" ht="75" customHeight="1">
      <x:c r="A20" t="str">
        <x:v>A007</x:v>
      </x:c>
      <x:c r="B20" t="str">
        <x:v>Strażnik Ostatniego Tchnienia</x:v>
      </x:c>
      <x:c r="C20" t="str">
        <x:v>Podstawowa</x:v>
      </x:c>
      <x:c r="D20" t="str">
        <x:v>Pasywna</x:v>
      </x:c>
      <x:c r="E20" s="6" t="str">
        <x:v>Raz na mecz: jeżeli własny bohater miałby zginąć od obrażeń, poświęć tę jednostkę i pozostaw bohatera z 1 HP.</x:v>
      </x:c>
    </x:row>
    <x:row r="21" ht="75" customHeight="1">
      <x:c r="A21" t="str">
        <x:v>A007</x:v>
      </x:c>
      <x:c r="B21" t="str">
        <x:v>Strażnik Ostatniego Tchnienia</x:v>
      </x:c>
      <x:c r="C21" t="str">
        <x:v>Rzadka</x:v>
      </x:c>
      <x:c r="D21" t="str">
        <x:v>Pasywna</x:v>
      </x:c>
      <x:c r="E21" s="6" t="str">
        <x:v>Raz na mecz: zamiast śmierci bohatera poświęć tę jednostkę i ustaw HP bohatera na 20.</x:v>
      </x:c>
    </x:row>
    <x:row r="22" ht="75" customHeight="1">
      <x:c r="A22" t="str">
        <x:v>A007</x:v>
      </x:c>
      <x:c r="B22" t="str">
        <x:v>Strażnik Ostatniego Tchnienia</x:v>
      </x:c>
      <x:c r="C22" t="str">
        <x:v>Legendarna</x:v>
      </x:c>
      <x:c r="D22" t="str">
        <x:v>Pasywna</x:v>
      </x:c>
      <x:c r="E22" s="6" t="str">
        <x:v>Raz na mecz: zamiast śmierci bohatera poświęć tę jednostkę, ustaw HP bohatera na 25 i ogłusz wszystkie aktualne wrogie jednostki do końca ich najbliższej własnej tury.</x:v>
      </x:c>
    </x:row>
    <x:row r="23" ht="75" customHeight="1">
      <x:c r="A23" t="str">
        <x:v>A008</x:v>
      </x:c>
      <x:c r="B23" t="str">
        <x:v>Architekt Pustki</x:v>
      </x:c>
      <x:c r="C23" t="str">
        <x:v>Podstawowa</x:v>
      </x:c>
      <x:c r="D23" t="str">
        <x:v>Przy wystawieniu</x:v>
      </x:c>
      <x:c r="E23" s="6" t="str">
        <x:v>Naznacz jedną wskazaną wrogą jednostkę: po zakończeniu jej najbliższej własnej tury zostanie wygnana, jeżeli nadal jest na planszy i znacznik nie został oczyszczony.</x:v>
      </x:c>
    </x:row>
    <x:row r="24" ht="75" customHeight="1">
      <x:c r="A24" t="str">
        <x:v>A008</x:v>
      </x:c>
      <x:c r="B24" t="str">
        <x:v>Architekt Pustki</x:v>
      </x:c>
      <x:c r="C24" t="str">
        <x:v>Rzadka</x:v>
      </x:c>
      <x:c r="D24" t="str">
        <x:v>Przy wystawieniu</x:v>
      </x:c>
      <x:c r="E24" s="6" t="str">
        <x:v>Wygnaj natychmiast jedną wskazaną wrogą jednostkę oraz jedną losową kartę z ręki przeciwnika (o ile takie cele istnieją).</x:v>
      </x:c>
    </x:row>
    <x:row r="25" ht="75" customHeight="1">
      <x:c r="A25" t="str">
        <x:v>A008</x:v>
      </x:c>
      <x:c r="B25" t="str">
        <x:v>Architekt Pustki</x:v>
      </x:c>
      <x:c r="C25" t="str">
        <x:v>Legendarna</x:v>
      </x:c>
      <x:c r="D25" t="str">
        <x:v>Przy wystawieniu</x:v>
      </x:c>
      <x:c r="E25" s="6" t="str">
        <x:v>Wygnaj natychmiast do trzech wskazanych wrogich jednostek oraz jedną losową kartę z ręki przeciwnika.</x:v>
      </x:c>
    </x:row>
    <x:row r="26" ht="75" customHeight="1">
      <x:c r="A26" t="str">
        <x:v>A009</x:v>
      </x:c>
      <x:c r="B26" t="str">
        <x:v>Złodziej Wspomnień</x:v>
      </x:c>
      <x:c r="C26" t="str">
        <x:v>Podstawowa</x:v>
      </x:c>
      <x:c r="D26" t="str">
        <x:v>Przy wystawieniu</x:v>
      </x:c>
      <x:c r="E26" s="6" t="str">
        <x:v>Wymień jedną wskazaną kartę ze swojej ręki na jedną losową kartę z ręki przeciwnika.</x:v>
      </x:c>
    </x:row>
    <x:row r="27" ht="75" customHeight="1">
      <x:c r="A27" t="str">
        <x:v>A009</x:v>
      </x:c>
      <x:c r="B27" t="str">
        <x:v>Złodziej Wspomnień</x:v>
      </x:c>
      <x:c r="C27" t="str">
        <x:v>Rzadka</x:v>
      </x:c>
      <x:c r="D27" t="str">
        <x:v>Przy wystawieniu</x:v>
      </x:c>
      <x:c r="E27" s="6" t="str">
        <x:v>Podejrzyj rękę przeciwnika i wymień jedną wskazaną kartę ze swojej ręki na jedną wybraną kartę przeciwnika.</x:v>
      </x:c>
    </x:row>
    <x:row r="28" ht="75" customHeight="1">
      <x:c r="A28" t="str">
        <x:v>A009</x:v>
      </x:c>
      <x:c r="B28" t="str">
        <x:v>Złodziej Wspomnień</x:v>
      </x:c>
      <x:c r="C28" t="str">
        <x:v>Legendarna</x:v>
      </x:c>
      <x:c r="D28" t="str">
        <x:v>Przy wystawieniu</x:v>
      </x:c>
      <x:c r="E28" s="6" t="str">
        <x:v>Zamień całe aktualne ręce obu graczy miejscami, łącznie z własnością fizycznych egzemplarzy. Następnie przeciwnik wybiera i odrzuca 2 karty ze swojej nowej ręki (lub wszystkie, jeśli ma mniej niż 2).</x:v>
      </x:c>
    </x:row>
    <x:row r="29" ht="75" customHeight="1">
      <x:c r="A29" t="str">
        <x:v>A010</x:v>
      </x:c>
      <x:c r="B29" t="str">
        <x:v>Królowa Tysiąca Twarzy</x:v>
      </x:c>
      <x:c r="C29" t="str">
        <x:v>Podstawowa</x:v>
      </x:c>
      <x:c r="D29" t="str">
        <x:v>Na koniec tury</x:v>
      </x:c>
      <x:c r="E29" s="6" t="str">
        <x:v>Na koniec własnej tury wybierz: przywołaj na wolne pole własnej planszy efemerycznego Żołnierza 1 ATK / 1 HP ALBO nadaj Królowej trwałe +1 ATK i +1 MAX HP (oraz +1 bieżącego HP).</x:v>
      </x:c>
    </x:row>
    <x:row r="30" ht="75" customHeight="1">
      <x:c r="A30" t="str">
        <x:v>A010</x:v>
      </x:c>
      <x:c r="B30" t="str">
        <x:v>Królowa Tysiąca Twarzy</x:v>
      </x:c>
      <x:c r="C30" t="str">
        <x:v>Rzadka</x:v>
      </x:c>
      <x:c r="D30" t="str">
        <x:v>Na koniec tury</x:v>
      </x:c>
      <x:c r="E30" s="6" t="str">
        <x:v>Na koniec własnej tury wybierz: przywołaj na wolne pola do dwóch efemerycznych Żołnierzy 2 ATK / 2 HP z Prowokacją ALBO nadaj Królowej trwałe +4 ATK, +4 MAX HP (+4 bieżącego HP) i Prowokację.</x:v>
      </x:c>
    </x:row>
    <x:row r="31" ht="75" customHeight="1">
      <x:c r="A31" t="str">
        <x:v>A010</x:v>
      </x:c>
      <x:c r="B31" t="str">
        <x:v>Królowa Tysiąca Twarzy</x:v>
      </x:c>
      <x:c r="C31" t="str">
        <x:v>Legendarna</x:v>
      </x:c>
      <x:c r="D31" t="str">
        <x:v>Na koniec tury</x:v>
      </x:c>
      <x:c r="E31" s="6" t="str">
        <x:v>Na koniec własnej tury wybierz: przywołaj na wolne pola do dwóch efemerycznych kopii najsilniejszej innej własnej jednostki, z jej aktualnymi ATK i MAX HP, lecz BEZ zdolności; ALBO nadaj Królowej trwały bonus +ATK równy ATK tej jednostki i +MAX HP równy jej MAX HP (wraz z odpowiednim przyrostem bieżącego HP).</x:v>
      </x:c>
    </x:row>
    <x:row r="32" ht="75" customHeight="1">
      <x:c r="A32" t="str">
        <x:v>A011</x:v>
      </x:c>
      <x:c r="B32" t="str">
        <x:v>Jeździec Czarnej Komety</x:v>
      </x:c>
      <x:c r="C32" t="str">
        <x:v>Podstawowa</x:v>
      </x:c>
      <x:c r="D32" t="str">
        <x:v>Przy śmierci</x:v>
      </x:c>
      <x:c r="E32" s="6" t="str">
        <x:v>Przy śmierci zadaj 5 obrażeń każdej wrogiej jednostce jednocześnie.</x:v>
      </x:c>
    </x:row>
    <x:row r="33" ht="75" customHeight="1">
      <x:c r="A33" t="str">
        <x:v>A011</x:v>
      </x:c>
      <x:c r="B33" t="str">
        <x:v>Jeździec Czarnej Komety</x:v>
      </x:c>
      <x:c r="C33" t="str">
        <x:v>Rzadka</x:v>
      </x:c>
      <x:c r="D33" t="str">
        <x:v>Przy śmierci</x:v>
      </x:c>
      <x:c r="E33" s="6" t="str">
        <x:v>Przy śmierci zadaj 5 obrażeń każdej wrogiej jednostce jednocześnie oraz 5 obrażeń wrogiemu bohaterowi.</x:v>
      </x:c>
    </x:row>
    <x:row r="34" ht="75" customHeight="1">
      <x:c r="A34" t="str">
        <x:v>A011</x:v>
      </x:c>
      <x:c r="B34" t="str">
        <x:v>Jeździec Czarnej Komety</x:v>
      </x:c>
      <x:c r="C34" t="str">
        <x:v>Legendarna</x:v>
      </x:c>
      <x:c r="D34" t="str">
        <x:v>Przy śmierci</x:v>
      </x:c>
      <x:c r="E34" s="6" t="str">
        <x:v>Przy śmierci zniszcz WSZYSTKIE inne jednostki na obu planszach w jednej wspólnej fali (w tym własne) i zadaj 10 obrażeń wrogiemu bohaterowi.</x:v>
      </x:c>
    </x:row>
    <x:row r="35" ht="75" customHeight="1">
      <x:c r="A35" t="str">
        <x:v>A012</x:v>
      </x:c>
      <x:c r="B35" t="str">
        <x:v>Tkaczka Drugiego Losu</x:v>
      </x:c>
      <x:c r="C35" t="str">
        <x:v>Podstawowa</x:v>
      </x:c>
      <x:c r="D35" t="str">
        <x:v>Przy wystawieniu</x:v>
      </x:c>
      <x:c r="E35" s="6" t="str">
        <x:v>Przy wystawieniu ustaw bieżące HP obu bohaterów na średnią ich aktualnych HP (zaokrągloną w dół), po czym ulecz swojego bohatera o 10 HP (nie ponad jego MAX HP).</x:v>
      </x:c>
    </x:row>
    <x:row r="36" ht="75" customHeight="1">
      <x:c r="A36" t="str">
        <x:v>A012</x:v>
      </x:c>
      <x:c r="B36" t="str">
        <x:v>Tkaczka Drugiego Losu</x:v>
      </x:c>
      <x:c r="C36" t="str">
        <x:v>Rzadka</x:v>
      </x:c>
      <x:c r="D36" t="str">
        <x:v>Przy wystawieniu</x:v>
      </x:c>
      <x:c r="E36" s="6" t="str">
        <x:v>Przy wystawieniu wybierz JEDEN tryb: (1) ustaw swoje bieżące HP na bieżące HP przeciwnika, pozostawiając jego HP bez zmian; ALBO (2) ustaw bieżące HP przeciwnika na swoje bieżące HP, pozostawiając swoje HP bez zmian. Następnie ulecz swojego bohatera o 10 HP, nie ponad MAX HP.</x:v>
      </x:c>
    </x:row>
    <x:row r="37" ht="75" customHeight="1">
      <x:c r="A37" t="str">
        <x:v>A012</x:v>
      </x:c>
      <x:c r="B37" t="str">
        <x:v>Tkaczka Drugiego Losu</x:v>
      </x:c>
      <x:c r="C37" t="str">
        <x:v>Legendarna</x:v>
      </x:c>
      <x:c r="D37" t="str">
        <x:v>Przy wystawieniu</x:v>
      </x:c>
      <x:c r="E37" s="6" t="str">
        <x:v>Przy wystawieniu zabierz 20 bieżącego HP wrogiemu bohaterowi i ulecz swojego bohatera o 20 HP (maksymalnie do jego MAX HP).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0" customHeight="1">
      <x:c r="A1" s="3" t="str">
        <x:v>ID</x:v>
      </x:c>
      <x:c r="B1" s="3" t="str">
        <x:v>Nazwa</x:v>
      </x:c>
      <x:c r="C1" s="3" t="str">
        <x:v>Runda</x:v>
      </x:c>
      <x:c r="D1" s="3" t="str">
        <x:v>ATK</x:v>
      </x:c>
      <x:c r="E1" s="3" t="str">
        <x:v>MAX HP</x:v>
      </x:c>
      <x:c r="F1" s="3" t="str">
        <x:v>Suma</x:v>
      </x:c>
      <x:c r="G1" s="3" t="str">
        <x:v>Oczekiwana suma</x:v>
      </x:c>
    </x:row>
    <x:row r="2">
      <x:c r="A2" t="str">
        <x:v>A001</x:v>
      </x:c>
      <x:c r="B2" t="str">
        <x:v>Władca Dusz</x:v>
      </x:c>
      <x:c r="C2" t="n">
        <x:v>3</x:v>
      </x:c>
      <x:c r="D2" t="n">
        <x:f>Archetypy!D2+INT((C2-3)/3)</x:f>
        <x:v>3</x:v>
      </x:c>
      <x:c r="E2" t="n">
        <x:f>C2+8-D2</x:f>
        <x:v>8</x:v>
      </x:c>
      <x:c r="F2" t="n">
        <x:f>D2+E2</x:f>
        <x:v>11</x:v>
      </x:c>
      <x:c r="G2" t="n">
        <x:f>C2+8</x:f>
        <x:v>11</x:v>
      </x:c>
    </x:row>
    <x:row r="3">
      <x:c r="A3" t="str">
        <x:v>A001</x:v>
      </x:c>
      <x:c r="B3" t="str">
        <x:v>Władca Dusz</x:v>
      </x:c>
      <x:c r="C3" t="n">
        <x:v>6</x:v>
      </x:c>
      <x:c r="D3" t="n">
        <x:f>Archetypy!D2+INT((C3-3)/3)</x:f>
        <x:v>4</x:v>
      </x:c>
      <x:c r="E3" t="n">
        <x:f>C3+8-D3</x:f>
        <x:v>10</x:v>
      </x:c>
      <x:c r="F3" t="n">
        <x:f>D3+E3</x:f>
        <x:v>14</x:v>
      </x:c>
      <x:c r="G3" t="n">
        <x:f>C3+8</x:f>
        <x:v>14</x:v>
      </x:c>
    </x:row>
    <x:row r="4">
      <x:c r="A4" t="str">
        <x:v>A001</x:v>
      </x:c>
      <x:c r="B4" t="str">
        <x:v>Władca Dusz</x:v>
      </x:c>
      <x:c r="C4" t="n">
        <x:v>9</x:v>
      </x:c>
      <x:c r="D4" t="n">
        <x:f>Archetypy!D2+INT((C4-3)/3)</x:f>
        <x:v>5</x:v>
      </x:c>
      <x:c r="E4" t="n">
        <x:f>C4+8-D4</x:f>
        <x:v>12</x:v>
      </x:c>
      <x:c r="F4" t="n">
        <x:f>D4+E4</x:f>
        <x:v>17</x:v>
      </x:c>
      <x:c r="G4" t="n">
        <x:f>C4+8</x:f>
        <x:v>17</x:v>
      </x:c>
    </x:row>
    <x:row r="5">
      <x:c r="A5" t="str">
        <x:v>A001</x:v>
      </x:c>
      <x:c r="B5" t="str">
        <x:v>Władca Dusz</x:v>
      </x:c>
      <x:c r="C5" t="n">
        <x:v>12</x:v>
      </x:c>
      <x:c r="D5" t="n">
        <x:f>Archetypy!D2+INT((C5-3)/3)</x:f>
        <x:v>6</x:v>
      </x:c>
      <x:c r="E5" t="n">
        <x:f>C5+8-D5</x:f>
        <x:v>14</x:v>
      </x:c>
      <x:c r="F5" t="n">
        <x:f>D5+E5</x:f>
        <x:v>20</x:v>
      </x:c>
      <x:c r="G5" t="n">
        <x:f>C5+8</x:f>
        <x:v>20</x:v>
      </x:c>
    </x:row>
    <x:row r="6">
      <x:c r="A6" t="str">
        <x:v>A001</x:v>
      </x:c>
      <x:c r="B6" t="str">
        <x:v>Władca Dusz</x:v>
      </x:c>
      <x:c r="C6" t="n">
        <x:v>15</x:v>
      </x:c>
      <x:c r="D6" t="n">
        <x:f>Archetypy!D2+INT((C6-3)/3)</x:f>
        <x:v>7</x:v>
      </x:c>
      <x:c r="E6" t="n">
        <x:f>C6+8-D6</x:f>
        <x:v>16</x:v>
      </x:c>
      <x:c r="F6" t="n">
        <x:f>D6+E6</x:f>
        <x:v>23</x:v>
      </x:c>
      <x:c r="G6" t="n">
        <x:f>C6+8</x:f>
        <x:v>23</x:v>
      </x:c>
    </x:row>
    <x:row r="7">
      <x:c r="A7" t="str">
        <x:v>A001</x:v>
      </x:c>
      <x:c r="B7" t="str">
        <x:v>Władca Dusz</x:v>
      </x:c>
      <x:c r="C7" t="n">
        <x:v>18</x:v>
      </x:c>
      <x:c r="D7" t="n">
        <x:f>Archetypy!D2+INT((C7-3)/3)</x:f>
        <x:v>8</x:v>
      </x:c>
      <x:c r="E7" t="n">
        <x:f>C7+8-D7</x:f>
        <x:v>18</x:v>
      </x:c>
      <x:c r="F7" t="n">
        <x:f>D7+E7</x:f>
        <x:v>26</x:v>
      </x:c>
      <x:c r="G7" t="n">
        <x:f>C7+8</x:f>
        <x:v>26</x:v>
      </x:c>
    </x:row>
    <x:row r="8">
      <x:c r="A8" t="str">
        <x:v>A002</x:v>
      </x:c>
      <x:c r="B8" t="str">
        <x:v>Generał Oddziału Natarcia</x:v>
      </x:c>
      <x:c r="C8" t="n">
        <x:v>3</x:v>
      </x:c>
      <x:c r="D8" t="n">
        <x:f>Archetypy!D3+INT((C8-3)/3)</x:f>
        <x:v>3</x:v>
      </x:c>
      <x:c r="E8" t="n">
        <x:f>C8+8-D8</x:f>
        <x:v>8</x:v>
      </x:c>
      <x:c r="F8" t="n">
        <x:f>D8+E8</x:f>
        <x:v>11</x:v>
      </x:c>
      <x:c r="G8" t="n">
        <x:f>C8+8</x:f>
        <x:v>11</x:v>
      </x:c>
    </x:row>
    <x:row r="9">
      <x:c r="A9" t="str">
        <x:v>A002</x:v>
      </x:c>
      <x:c r="B9" t="str">
        <x:v>Generał Oddziału Natarcia</x:v>
      </x:c>
      <x:c r="C9" t="n">
        <x:v>6</x:v>
      </x:c>
      <x:c r="D9" t="n">
        <x:f>Archetypy!D3+INT((C9-3)/3)</x:f>
        <x:v>4</x:v>
      </x:c>
      <x:c r="E9" t="n">
        <x:f>C9+8-D9</x:f>
        <x:v>10</x:v>
      </x:c>
      <x:c r="F9" t="n">
        <x:f>D9+E9</x:f>
        <x:v>14</x:v>
      </x:c>
      <x:c r="G9" t="n">
        <x:f>C9+8</x:f>
        <x:v>14</x:v>
      </x:c>
    </x:row>
    <x:row r="10">
      <x:c r="A10" t="str">
        <x:v>A002</x:v>
      </x:c>
      <x:c r="B10" t="str">
        <x:v>Generał Oddziału Natarcia</x:v>
      </x:c>
      <x:c r="C10" t="n">
        <x:v>9</x:v>
      </x:c>
      <x:c r="D10" t="n">
        <x:f>Archetypy!D3+INT((C10-3)/3)</x:f>
        <x:v>5</x:v>
      </x:c>
      <x:c r="E10" t="n">
        <x:f>C10+8-D10</x:f>
        <x:v>12</x:v>
      </x:c>
      <x:c r="F10" t="n">
        <x:f>D10+E10</x:f>
        <x:v>17</x:v>
      </x:c>
      <x:c r="G10" t="n">
        <x:f>C10+8</x:f>
        <x:v>17</x:v>
      </x:c>
    </x:row>
    <x:row r="11">
      <x:c r="A11" t="str">
        <x:v>A002</x:v>
      </x:c>
      <x:c r="B11" t="str">
        <x:v>Generał Oddziału Natarcia</x:v>
      </x:c>
      <x:c r="C11" t="n">
        <x:v>12</x:v>
      </x:c>
      <x:c r="D11" t="n">
        <x:f>Archetypy!D3+INT((C11-3)/3)</x:f>
        <x:v>6</x:v>
      </x:c>
      <x:c r="E11" t="n">
        <x:f>C11+8-D11</x:f>
        <x:v>14</x:v>
      </x:c>
      <x:c r="F11" t="n">
        <x:f>D11+E11</x:f>
        <x:v>20</x:v>
      </x:c>
      <x:c r="G11" t="n">
        <x:f>C11+8</x:f>
        <x:v>20</x:v>
      </x:c>
    </x:row>
    <x:row r="12">
      <x:c r="A12" t="str">
        <x:v>A002</x:v>
      </x:c>
      <x:c r="B12" t="str">
        <x:v>Generał Oddziału Natarcia</x:v>
      </x:c>
      <x:c r="C12" t="n">
        <x:v>15</x:v>
      </x:c>
      <x:c r="D12" t="n">
        <x:f>Archetypy!D3+INT((C12-3)/3)</x:f>
        <x:v>7</x:v>
      </x:c>
      <x:c r="E12" t="n">
        <x:f>C12+8-D12</x:f>
        <x:v>16</x:v>
      </x:c>
      <x:c r="F12" t="n">
        <x:f>D12+E12</x:f>
        <x:v>23</x:v>
      </x:c>
      <x:c r="G12" t="n">
        <x:f>C12+8</x:f>
        <x:v>23</x:v>
      </x:c>
    </x:row>
    <x:row r="13">
      <x:c r="A13" t="str">
        <x:v>A002</x:v>
      </x:c>
      <x:c r="B13" t="str">
        <x:v>Generał Oddziału Natarcia</x:v>
      </x:c>
      <x:c r="C13" t="n">
        <x:v>18</x:v>
      </x:c>
      <x:c r="D13" t="n">
        <x:f>Archetypy!D3+INT((C13-3)/3)</x:f>
        <x:v>8</x:v>
      </x:c>
      <x:c r="E13" t="n">
        <x:f>C13+8-D13</x:f>
        <x:v>18</x:v>
      </x:c>
      <x:c r="F13" t="n">
        <x:f>D13+E13</x:f>
        <x:v>26</x:v>
      </x:c>
      <x:c r="G13" t="n">
        <x:f>C13+8</x:f>
        <x:v>26</x:v>
      </x:c>
    </x:row>
    <x:row r="14">
      <x:c r="A14" t="str">
        <x:v>A003</x:v>
      </x:c>
      <x:c r="B14" t="str">
        <x:v>Matka Kości</x:v>
      </x:c>
      <x:c r="C14" t="n">
        <x:v>3</x:v>
      </x:c>
      <x:c r="D14" t="n">
        <x:f>Archetypy!D4+INT((C14-3)/3)</x:f>
        <x:v>2</x:v>
      </x:c>
      <x:c r="E14" t="n">
        <x:f>C14+8-D14</x:f>
        <x:v>9</x:v>
      </x:c>
      <x:c r="F14" t="n">
        <x:f>D14+E14</x:f>
        <x:v>11</x:v>
      </x:c>
      <x:c r="G14" t="n">
        <x:f>C14+8</x:f>
        <x:v>11</x:v>
      </x:c>
    </x:row>
    <x:row r="15">
      <x:c r="A15" t="str">
        <x:v>A003</x:v>
      </x:c>
      <x:c r="B15" t="str">
        <x:v>Matka Kości</x:v>
      </x:c>
      <x:c r="C15" t="n">
        <x:v>6</x:v>
      </x:c>
      <x:c r="D15" t="n">
        <x:f>Archetypy!D4+INT((C15-3)/3)</x:f>
        <x:v>3</x:v>
      </x:c>
      <x:c r="E15" t="n">
        <x:f>C15+8-D15</x:f>
        <x:v>11</x:v>
      </x:c>
      <x:c r="F15" t="n">
        <x:f>D15+E15</x:f>
        <x:v>14</x:v>
      </x:c>
      <x:c r="G15" t="n">
        <x:f>C15+8</x:f>
        <x:v>14</x:v>
      </x:c>
    </x:row>
    <x:row r="16">
      <x:c r="A16" t="str">
        <x:v>A003</x:v>
      </x:c>
      <x:c r="B16" t="str">
        <x:v>Matka Kości</x:v>
      </x:c>
      <x:c r="C16" t="n">
        <x:v>9</x:v>
      </x:c>
      <x:c r="D16" t="n">
        <x:f>Archetypy!D4+INT((C16-3)/3)</x:f>
        <x:v>4</x:v>
      </x:c>
      <x:c r="E16" t="n">
        <x:f>C16+8-D16</x:f>
        <x:v>13</x:v>
      </x:c>
      <x:c r="F16" t="n">
        <x:f>D16+E16</x:f>
        <x:v>17</x:v>
      </x:c>
      <x:c r="G16" t="n">
        <x:f>C16+8</x:f>
        <x:v>17</x:v>
      </x:c>
    </x:row>
    <x:row r="17">
      <x:c r="A17" t="str">
        <x:v>A003</x:v>
      </x:c>
      <x:c r="B17" t="str">
        <x:v>Matka Kości</x:v>
      </x:c>
      <x:c r="C17" t="n">
        <x:v>12</x:v>
      </x:c>
      <x:c r="D17" t="n">
        <x:f>Archetypy!D4+INT((C17-3)/3)</x:f>
        <x:v>5</x:v>
      </x:c>
      <x:c r="E17" t="n">
        <x:f>C17+8-D17</x:f>
        <x:v>15</x:v>
      </x:c>
      <x:c r="F17" t="n">
        <x:f>D17+E17</x:f>
        <x:v>20</x:v>
      </x:c>
      <x:c r="G17" t="n">
        <x:f>C17+8</x:f>
        <x:v>20</x:v>
      </x:c>
    </x:row>
    <x:row r="18">
      <x:c r="A18" t="str">
        <x:v>A003</x:v>
      </x:c>
      <x:c r="B18" t="str">
        <x:v>Matka Kości</x:v>
      </x:c>
      <x:c r="C18" t="n">
        <x:v>15</x:v>
      </x:c>
      <x:c r="D18" t="n">
        <x:f>Archetypy!D4+INT((C18-3)/3)</x:f>
        <x:v>6</x:v>
      </x:c>
      <x:c r="E18" t="n">
        <x:f>C18+8-D18</x:f>
        <x:v>17</x:v>
      </x:c>
      <x:c r="F18" t="n">
        <x:f>D18+E18</x:f>
        <x:v>23</x:v>
      </x:c>
      <x:c r="G18" t="n">
        <x:f>C18+8</x:f>
        <x:v>23</x:v>
      </x:c>
    </x:row>
    <x:row r="19">
      <x:c r="A19" t="str">
        <x:v>A003</x:v>
      </x:c>
      <x:c r="B19" t="str">
        <x:v>Matka Kości</x:v>
      </x:c>
      <x:c r="C19" t="n">
        <x:v>18</x:v>
      </x:c>
      <x:c r="D19" t="n">
        <x:f>Archetypy!D4+INT((C19-3)/3)</x:f>
        <x:v>7</x:v>
      </x:c>
      <x:c r="E19" t="n">
        <x:f>C19+8-D19</x:f>
        <x:v>19</x:v>
      </x:c>
      <x:c r="F19" t="n">
        <x:f>D19+E19</x:f>
        <x:v>26</x:v>
      </x:c>
      <x:c r="G19" t="n">
        <x:f>C19+8</x:f>
        <x:v>26</x:v>
      </x:c>
    </x:row>
    <x:row r="20">
      <x:c r="A20" t="str">
        <x:v>A004</x:v>
      </x:c>
      <x:c r="B20" t="str">
        <x:v>Regent Krzywych Zwierciadeł</x:v>
      </x:c>
      <x:c r="C20" t="n">
        <x:v>3</x:v>
      </x:c>
      <x:c r="D20" t="n">
        <x:f>Archetypy!D5+INT((C20-3)/3)</x:f>
        <x:v>4</x:v>
      </x:c>
      <x:c r="E20" t="n">
        <x:f>C20+8-D20</x:f>
        <x:v>7</x:v>
      </x:c>
      <x:c r="F20" t="n">
        <x:f>D20+E20</x:f>
        <x:v>11</x:v>
      </x:c>
      <x:c r="G20" t="n">
        <x:f>C20+8</x:f>
        <x:v>11</x:v>
      </x:c>
    </x:row>
    <x:row r="21">
      <x:c r="A21" t="str">
        <x:v>A004</x:v>
      </x:c>
      <x:c r="B21" t="str">
        <x:v>Regent Krzywych Zwierciadeł</x:v>
      </x:c>
      <x:c r="C21" t="n">
        <x:v>6</x:v>
      </x:c>
      <x:c r="D21" t="n">
        <x:f>Archetypy!D5+INT((C21-3)/3)</x:f>
        <x:v>5</x:v>
      </x:c>
      <x:c r="E21" t="n">
        <x:f>C21+8-D21</x:f>
        <x:v>9</x:v>
      </x:c>
      <x:c r="F21" t="n">
        <x:f>D21+E21</x:f>
        <x:v>14</x:v>
      </x:c>
      <x:c r="G21" t="n">
        <x:f>C21+8</x:f>
        <x:v>14</x:v>
      </x:c>
    </x:row>
    <x:row r="22">
      <x:c r="A22" t="str">
        <x:v>A004</x:v>
      </x:c>
      <x:c r="B22" t="str">
        <x:v>Regent Krzywych Zwierciadeł</x:v>
      </x:c>
      <x:c r="C22" t="n">
        <x:v>9</x:v>
      </x:c>
      <x:c r="D22" t="n">
        <x:f>Archetypy!D5+INT((C22-3)/3)</x:f>
        <x:v>6</x:v>
      </x:c>
      <x:c r="E22" t="n">
        <x:f>C22+8-D22</x:f>
        <x:v>11</x:v>
      </x:c>
      <x:c r="F22" t="n">
        <x:f>D22+E22</x:f>
        <x:v>17</x:v>
      </x:c>
      <x:c r="G22" t="n">
        <x:f>C22+8</x:f>
        <x:v>17</x:v>
      </x:c>
    </x:row>
    <x:row r="23">
      <x:c r="A23" t="str">
        <x:v>A004</x:v>
      </x:c>
      <x:c r="B23" t="str">
        <x:v>Regent Krzywych Zwierciadeł</x:v>
      </x:c>
      <x:c r="C23" t="n">
        <x:v>12</x:v>
      </x:c>
      <x:c r="D23" t="n">
        <x:f>Archetypy!D5+INT((C23-3)/3)</x:f>
        <x:v>7</x:v>
      </x:c>
      <x:c r="E23" t="n">
        <x:f>C23+8-D23</x:f>
        <x:v>13</x:v>
      </x:c>
      <x:c r="F23" t="n">
        <x:f>D23+E23</x:f>
        <x:v>20</x:v>
      </x:c>
      <x:c r="G23" t="n">
        <x:f>C23+8</x:f>
        <x:v>20</x:v>
      </x:c>
    </x:row>
    <x:row r="24">
      <x:c r="A24" t="str">
        <x:v>A004</x:v>
      </x:c>
      <x:c r="B24" t="str">
        <x:v>Regent Krzywych Zwierciadeł</x:v>
      </x:c>
      <x:c r="C24" t="n">
        <x:v>15</x:v>
      </x:c>
      <x:c r="D24" t="n">
        <x:f>Archetypy!D5+INT((C24-3)/3)</x:f>
        <x:v>8</x:v>
      </x:c>
      <x:c r="E24" t="n">
        <x:f>C24+8-D24</x:f>
        <x:v>15</x:v>
      </x:c>
      <x:c r="F24" t="n">
        <x:f>D24+E24</x:f>
        <x:v>23</x:v>
      </x:c>
      <x:c r="G24" t="n">
        <x:f>C24+8</x:f>
        <x:v>23</x:v>
      </x:c>
    </x:row>
    <x:row r="25">
      <x:c r="A25" t="str">
        <x:v>A004</x:v>
      </x:c>
      <x:c r="B25" t="str">
        <x:v>Regent Krzywych Zwierciadeł</x:v>
      </x:c>
      <x:c r="C25" t="n">
        <x:v>18</x:v>
      </x:c>
      <x:c r="D25" t="n">
        <x:f>Archetypy!D5+INT((C25-3)/3)</x:f>
        <x:v>9</x:v>
      </x:c>
      <x:c r="E25" t="n">
        <x:f>C25+8-D25</x:f>
        <x:v>17</x:v>
      </x:c>
      <x:c r="F25" t="n">
        <x:f>D25+E25</x:f>
        <x:v>26</x:v>
      </x:c>
      <x:c r="G25" t="n">
        <x:f>C25+8</x:f>
        <x:v>26</x:v>
      </x:c>
    </x:row>
    <x:row r="26">
      <x:c r="A26" t="str">
        <x:v>A005</x:v>
      </x:c>
      <x:c r="B26" t="str">
        <x:v>Bankier Widm</x:v>
      </x:c>
      <x:c r="C26" t="n">
        <x:v>3</x:v>
      </x:c>
      <x:c r="D26" t="n">
        <x:f>Archetypy!D6+INT((C26-3)/3)</x:f>
        <x:v>2</x:v>
      </x:c>
      <x:c r="E26" t="n">
        <x:f>C26+8-D26</x:f>
        <x:v>9</x:v>
      </x:c>
      <x:c r="F26" t="n">
        <x:f>D26+E26</x:f>
        <x:v>11</x:v>
      </x:c>
      <x:c r="G26" t="n">
        <x:f>C26+8</x:f>
        <x:v>11</x:v>
      </x:c>
    </x:row>
    <x:row r="27">
      <x:c r="A27" t="str">
        <x:v>A005</x:v>
      </x:c>
      <x:c r="B27" t="str">
        <x:v>Bankier Widm</x:v>
      </x:c>
      <x:c r="C27" t="n">
        <x:v>6</x:v>
      </x:c>
      <x:c r="D27" t="n">
        <x:f>Archetypy!D6+INT((C27-3)/3)</x:f>
        <x:v>3</x:v>
      </x:c>
      <x:c r="E27" t="n">
        <x:f>C27+8-D27</x:f>
        <x:v>11</x:v>
      </x:c>
      <x:c r="F27" t="n">
        <x:f>D27+E27</x:f>
        <x:v>14</x:v>
      </x:c>
      <x:c r="G27" t="n">
        <x:f>C27+8</x:f>
        <x:v>14</x:v>
      </x:c>
    </x:row>
    <x:row r="28">
      <x:c r="A28" t="str">
        <x:v>A005</x:v>
      </x:c>
      <x:c r="B28" t="str">
        <x:v>Bankier Widm</x:v>
      </x:c>
      <x:c r="C28" t="n">
        <x:v>9</x:v>
      </x:c>
      <x:c r="D28" t="n">
        <x:f>Archetypy!D6+INT((C28-3)/3)</x:f>
        <x:v>4</x:v>
      </x:c>
      <x:c r="E28" t="n">
        <x:f>C28+8-D28</x:f>
        <x:v>13</x:v>
      </x:c>
      <x:c r="F28" t="n">
        <x:f>D28+E28</x:f>
        <x:v>17</x:v>
      </x:c>
      <x:c r="G28" t="n">
        <x:f>C28+8</x:f>
        <x:v>17</x:v>
      </x:c>
    </x:row>
    <x:row r="29">
      <x:c r="A29" t="str">
        <x:v>A005</x:v>
      </x:c>
      <x:c r="B29" t="str">
        <x:v>Bankier Widm</x:v>
      </x:c>
      <x:c r="C29" t="n">
        <x:v>12</x:v>
      </x:c>
      <x:c r="D29" t="n">
        <x:f>Archetypy!D6+INT((C29-3)/3)</x:f>
        <x:v>5</x:v>
      </x:c>
      <x:c r="E29" t="n">
        <x:f>C29+8-D29</x:f>
        <x:v>15</x:v>
      </x:c>
      <x:c r="F29" t="n">
        <x:f>D29+E29</x:f>
        <x:v>20</x:v>
      </x:c>
      <x:c r="G29" t="n">
        <x:f>C29+8</x:f>
        <x:v>20</x:v>
      </x:c>
    </x:row>
    <x:row r="30">
      <x:c r="A30" t="str">
        <x:v>A005</x:v>
      </x:c>
      <x:c r="B30" t="str">
        <x:v>Bankier Widm</x:v>
      </x:c>
      <x:c r="C30" t="n">
        <x:v>15</x:v>
      </x:c>
      <x:c r="D30" t="n">
        <x:f>Archetypy!D6+INT((C30-3)/3)</x:f>
        <x:v>6</x:v>
      </x:c>
      <x:c r="E30" t="n">
        <x:f>C30+8-D30</x:f>
        <x:v>17</x:v>
      </x:c>
      <x:c r="F30" t="n">
        <x:f>D30+E30</x:f>
        <x:v>23</x:v>
      </x:c>
      <x:c r="G30" t="n">
        <x:f>C30+8</x:f>
        <x:v>23</x:v>
      </x:c>
    </x:row>
    <x:row r="31">
      <x:c r="A31" t="str">
        <x:v>A005</x:v>
      </x:c>
      <x:c r="B31" t="str">
        <x:v>Bankier Widm</x:v>
      </x:c>
      <x:c r="C31" t="n">
        <x:v>18</x:v>
      </x:c>
      <x:c r="D31" t="n">
        <x:f>Archetypy!D6+INT((C31-3)/3)</x:f>
        <x:v>7</x:v>
      </x:c>
      <x:c r="E31" t="n">
        <x:f>C31+8-D31</x:f>
        <x:v>19</x:v>
      </x:c>
      <x:c r="F31" t="n">
        <x:f>D31+E31</x:f>
        <x:v>26</x:v>
      </x:c>
      <x:c r="G31" t="n">
        <x:f>C31+8</x:f>
        <x:v>26</x:v>
      </x:c>
    </x:row>
    <x:row r="32">
      <x:c r="A32" t="str">
        <x:v>A006</x:v>
      </x:c>
      <x:c r="B32" t="str">
        <x:v>Królowa Zakazanych Słów</x:v>
      </x:c>
      <x:c r="C32" t="n">
        <x:v>3</x:v>
      </x:c>
      <x:c r="D32" t="n">
        <x:f>Archetypy!D7+INT((C32-3)/3)</x:f>
        <x:v>2</x:v>
      </x:c>
      <x:c r="E32" t="n">
        <x:f>C32+8-D32</x:f>
        <x:v>9</x:v>
      </x:c>
      <x:c r="F32" t="n">
        <x:f>D32+E32</x:f>
        <x:v>11</x:v>
      </x:c>
      <x:c r="G32" t="n">
        <x:f>C32+8</x:f>
        <x:v>11</x:v>
      </x:c>
    </x:row>
    <x:row r="33">
      <x:c r="A33" t="str">
        <x:v>A006</x:v>
      </x:c>
      <x:c r="B33" t="str">
        <x:v>Królowa Zakazanych Słów</x:v>
      </x:c>
      <x:c r="C33" t="n">
        <x:v>6</x:v>
      </x:c>
      <x:c r="D33" t="n">
        <x:f>Archetypy!D7+INT((C33-3)/3)</x:f>
        <x:v>3</x:v>
      </x:c>
      <x:c r="E33" t="n">
        <x:f>C33+8-D33</x:f>
        <x:v>11</x:v>
      </x:c>
      <x:c r="F33" t="n">
        <x:f>D33+E33</x:f>
        <x:v>14</x:v>
      </x:c>
      <x:c r="G33" t="n">
        <x:f>C33+8</x:f>
        <x:v>14</x:v>
      </x:c>
    </x:row>
    <x:row r="34">
      <x:c r="A34" t="str">
        <x:v>A006</x:v>
      </x:c>
      <x:c r="B34" t="str">
        <x:v>Królowa Zakazanych Słów</x:v>
      </x:c>
      <x:c r="C34" t="n">
        <x:v>9</x:v>
      </x:c>
      <x:c r="D34" t="n">
        <x:f>Archetypy!D7+INT((C34-3)/3)</x:f>
        <x:v>4</x:v>
      </x:c>
      <x:c r="E34" t="n">
        <x:f>C34+8-D34</x:f>
        <x:v>13</x:v>
      </x:c>
      <x:c r="F34" t="n">
        <x:f>D34+E34</x:f>
        <x:v>17</x:v>
      </x:c>
      <x:c r="G34" t="n">
        <x:f>C34+8</x:f>
        <x:v>17</x:v>
      </x:c>
    </x:row>
    <x:row r="35">
      <x:c r="A35" t="str">
        <x:v>A006</x:v>
      </x:c>
      <x:c r="B35" t="str">
        <x:v>Królowa Zakazanych Słów</x:v>
      </x:c>
      <x:c r="C35" t="n">
        <x:v>12</x:v>
      </x:c>
      <x:c r="D35" t="n">
        <x:f>Archetypy!D7+INT((C35-3)/3)</x:f>
        <x:v>5</x:v>
      </x:c>
      <x:c r="E35" t="n">
        <x:f>C35+8-D35</x:f>
        <x:v>15</x:v>
      </x:c>
      <x:c r="F35" t="n">
        <x:f>D35+E35</x:f>
        <x:v>20</x:v>
      </x:c>
      <x:c r="G35" t="n">
        <x:f>C35+8</x:f>
        <x:v>20</x:v>
      </x:c>
    </x:row>
    <x:row r="36">
      <x:c r="A36" t="str">
        <x:v>A006</x:v>
      </x:c>
      <x:c r="B36" t="str">
        <x:v>Królowa Zakazanych Słów</x:v>
      </x:c>
      <x:c r="C36" t="n">
        <x:v>15</x:v>
      </x:c>
      <x:c r="D36" t="n">
        <x:f>Archetypy!D7+INT((C36-3)/3)</x:f>
        <x:v>6</x:v>
      </x:c>
      <x:c r="E36" t="n">
        <x:f>C36+8-D36</x:f>
        <x:v>17</x:v>
      </x:c>
      <x:c r="F36" t="n">
        <x:f>D36+E36</x:f>
        <x:v>23</x:v>
      </x:c>
      <x:c r="G36" t="n">
        <x:f>C36+8</x:f>
        <x:v>23</x:v>
      </x:c>
    </x:row>
    <x:row r="37">
      <x:c r="A37" t="str">
        <x:v>A006</x:v>
      </x:c>
      <x:c r="B37" t="str">
        <x:v>Królowa Zakazanych Słów</x:v>
      </x:c>
      <x:c r="C37" t="n">
        <x:v>18</x:v>
      </x:c>
      <x:c r="D37" t="n">
        <x:f>Archetypy!D7+INT((C37-3)/3)</x:f>
        <x:v>7</x:v>
      </x:c>
      <x:c r="E37" t="n">
        <x:f>C37+8-D37</x:f>
        <x:v>19</x:v>
      </x:c>
      <x:c r="F37" t="n">
        <x:f>D37+E37</x:f>
        <x:v>26</x:v>
      </x:c>
      <x:c r="G37" t="n">
        <x:f>C37+8</x:f>
        <x:v>26</x:v>
      </x:c>
    </x:row>
    <x:row r="38">
      <x:c r="A38" t="str">
        <x:v>A007</x:v>
      </x:c>
      <x:c r="B38" t="str">
        <x:v>Strażnik Ostatniego Tchnienia</x:v>
      </x:c>
      <x:c r="C38" t="n">
        <x:v>3</x:v>
      </x:c>
      <x:c r="D38" t="n">
        <x:f>Archetypy!D8+INT((C38-3)/3)</x:f>
        <x:v>2</x:v>
      </x:c>
      <x:c r="E38" t="n">
        <x:f>C38+8-D38</x:f>
        <x:v>9</x:v>
      </x:c>
      <x:c r="F38" t="n">
        <x:f>D38+E38</x:f>
        <x:v>11</x:v>
      </x:c>
      <x:c r="G38" t="n">
        <x:f>C38+8</x:f>
        <x:v>11</x:v>
      </x:c>
    </x:row>
    <x:row r="39">
      <x:c r="A39" t="str">
        <x:v>A007</x:v>
      </x:c>
      <x:c r="B39" t="str">
        <x:v>Strażnik Ostatniego Tchnienia</x:v>
      </x:c>
      <x:c r="C39" t="n">
        <x:v>6</x:v>
      </x:c>
      <x:c r="D39" t="n">
        <x:f>Archetypy!D8+INT((C39-3)/3)</x:f>
        <x:v>3</x:v>
      </x:c>
      <x:c r="E39" t="n">
        <x:f>C39+8-D39</x:f>
        <x:v>11</x:v>
      </x:c>
      <x:c r="F39" t="n">
        <x:f>D39+E39</x:f>
        <x:v>14</x:v>
      </x:c>
      <x:c r="G39" t="n">
        <x:f>C39+8</x:f>
        <x:v>14</x:v>
      </x:c>
    </x:row>
    <x:row r="40">
      <x:c r="A40" t="str">
        <x:v>A007</x:v>
      </x:c>
      <x:c r="B40" t="str">
        <x:v>Strażnik Ostatniego Tchnienia</x:v>
      </x:c>
      <x:c r="C40" t="n">
        <x:v>9</x:v>
      </x:c>
      <x:c r="D40" t="n">
        <x:f>Archetypy!D8+INT((C40-3)/3)</x:f>
        <x:v>4</x:v>
      </x:c>
      <x:c r="E40" t="n">
        <x:f>C40+8-D40</x:f>
        <x:v>13</x:v>
      </x:c>
      <x:c r="F40" t="n">
        <x:f>D40+E40</x:f>
        <x:v>17</x:v>
      </x:c>
      <x:c r="G40" t="n">
        <x:f>C40+8</x:f>
        <x:v>17</x:v>
      </x:c>
    </x:row>
    <x:row r="41">
      <x:c r="A41" t="str">
        <x:v>A007</x:v>
      </x:c>
      <x:c r="B41" t="str">
        <x:v>Strażnik Ostatniego Tchnienia</x:v>
      </x:c>
      <x:c r="C41" t="n">
        <x:v>12</x:v>
      </x:c>
      <x:c r="D41" t="n">
        <x:f>Archetypy!D8+INT((C41-3)/3)</x:f>
        <x:v>5</x:v>
      </x:c>
      <x:c r="E41" t="n">
        <x:f>C41+8-D41</x:f>
        <x:v>15</x:v>
      </x:c>
      <x:c r="F41" t="n">
        <x:f>D41+E41</x:f>
        <x:v>20</x:v>
      </x:c>
      <x:c r="G41" t="n">
        <x:f>C41+8</x:f>
        <x:v>20</x:v>
      </x:c>
    </x:row>
    <x:row r="42">
      <x:c r="A42" t="str">
        <x:v>A007</x:v>
      </x:c>
      <x:c r="B42" t="str">
        <x:v>Strażnik Ostatniego Tchnienia</x:v>
      </x:c>
      <x:c r="C42" t="n">
        <x:v>15</x:v>
      </x:c>
      <x:c r="D42" t="n">
        <x:f>Archetypy!D8+INT((C42-3)/3)</x:f>
        <x:v>6</x:v>
      </x:c>
      <x:c r="E42" t="n">
        <x:f>C42+8-D42</x:f>
        <x:v>17</x:v>
      </x:c>
      <x:c r="F42" t="n">
        <x:f>D42+E42</x:f>
        <x:v>23</x:v>
      </x:c>
      <x:c r="G42" t="n">
        <x:f>C42+8</x:f>
        <x:v>23</x:v>
      </x:c>
    </x:row>
    <x:row r="43">
      <x:c r="A43" t="str">
        <x:v>A007</x:v>
      </x:c>
      <x:c r="B43" t="str">
        <x:v>Strażnik Ostatniego Tchnienia</x:v>
      </x:c>
      <x:c r="C43" t="n">
        <x:v>18</x:v>
      </x:c>
      <x:c r="D43" t="n">
        <x:f>Archetypy!D8+INT((C43-3)/3)</x:f>
        <x:v>7</x:v>
      </x:c>
      <x:c r="E43" t="n">
        <x:f>C43+8-D43</x:f>
        <x:v>19</x:v>
      </x:c>
      <x:c r="F43" t="n">
        <x:f>D43+E43</x:f>
        <x:v>26</x:v>
      </x:c>
      <x:c r="G43" t="n">
        <x:f>C43+8</x:f>
        <x:v>26</x:v>
      </x:c>
    </x:row>
    <x:row r="44">
      <x:c r="A44" t="str">
        <x:v>A008</x:v>
      </x:c>
      <x:c r="B44" t="str">
        <x:v>Architekt Pustki</x:v>
      </x:c>
      <x:c r="C44" t="n">
        <x:v>3</x:v>
      </x:c>
      <x:c r="D44" t="n">
        <x:f>Archetypy!D9+INT((C44-3)/3)</x:f>
        <x:v>3</x:v>
      </x:c>
      <x:c r="E44" t="n">
        <x:f>C44+8-D44</x:f>
        <x:v>8</x:v>
      </x:c>
      <x:c r="F44" t="n">
        <x:f>D44+E44</x:f>
        <x:v>11</x:v>
      </x:c>
      <x:c r="G44" t="n">
        <x:f>C44+8</x:f>
        <x:v>11</x:v>
      </x:c>
    </x:row>
    <x:row r="45">
      <x:c r="A45" t="str">
        <x:v>A008</x:v>
      </x:c>
      <x:c r="B45" t="str">
        <x:v>Architekt Pustki</x:v>
      </x:c>
      <x:c r="C45" t="n">
        <x:v>6</x:v>
      </x:c>
      <x:c r="D45" t="n">
        <x:f>Archetypy!D9+INT((C45-3)/3)</x:f>
        <x:v>4</x:v>
      </x:c>
      <x:c r="E45" t="n">
        <x:f>C45+8-D45</x:f>
        <x:v>10</x:v>
      </x:c>
      <x:c r="F45" t="n">
        <x:f>D45+E45</x:f>
        <x:v>14</x:v>
      </x:c>
      <x:c r="G45" t="n">
        <x:f>C45+8</x:f>
        <x:v>14</x:v>
      </x:c>
    </x:row>
    <x:row r="46">
      <x:c r="A46" t="str">
        <x:v>A008</x:v>
      </x:c>
      <x:c r="B46" t="str">
        <x:v>Architekt Pustki</x:v>
      </x:c>
      <x:c r="C46" t="n">
        <x:v>9</x:v>
      </x:c>
      <x:c r="D46" t="n">
        <x:f>Archetypy!D9+INT((C46-3)/3)</x:f>
        <x:v>5</x:v>
      </x:c>
      <x:c r="E46" t="n">
        <x:f>C46+8-D46</x:f>
        <x:v>12</x:v>
      </x:c>
      <x:c r="F46" t="n">
        <x:f>D46+E46</x:f>
        <x:v>17</x:v>
      </x:c>
      <x:c r="G46" t="n">
        <x:f>C46+8</x:f>
        <x:v>17</x:v>
      </x:c>
    </x:row>
    <x:row r="47">
      <x:c r="A47" t="str">
        <x:v>A008</x:v>
      </x:c>
      <x:c r="B47" t="str">
        <x:v>Architekt Pustki</x:v>
      </x:c>
      <x:c r="C47" t="n">
        <x:v>12</x:v>
      </x:c>
      <x:c r="D47" t="n">
        <x:f>Archetypy!D9+INT((C47-3)/3)</x:f>
        <x:v>6</x:v>
      </x:c>
      <x:c r="E47" t="n">
        <x:f>C47+8-D47</x:f>
        <x:v>14</x:v>
      </x:c>
      <x:c r="F47" t="n">
        <x:f>D47+E47</x:f>
        <x:v>20</x:v>
      </x:c>
      <x:c r="G47" t="n">
        <x:f>C47+8</x:f>
        <x:v>20</x:v>
      </x:c>
    </x:row>
    <x:row r="48">
      <x:c r="A48" t="str">
        <x:v>A008</x:v>
      </x:c>
      <x:c r="B48" t="str">
        <x:v>Architekt Pustki</x:v>
      </x:c>
      <x:c r="C48" t="n">
        <x:v>15</x:v>
      </x:c>
      <x:c r="D48" t="n">
        <x:f>Archetypy!D9+INT((C48-3)/3)</x:f>
        <x:v>7</x:v>
      </x:c>
      <x:c r="E48" t="n">
        <x:f>C48+8-D48</x:f>
        <x:v>16</x:v>
      </x:c>
      <x:c r="F48" t="n">
        <x:f>D48+E48</x:f>
        <x:v>23</x:v>
      </x:c>
      <x:c r="G48" t="n">
        <x:f>C48+8</x:f>
        <x:v>23</x:v>
      </x:c>
    </x:row>
    <x:row r="49">
      <x:c r="A49" t="str">
        <x:v>A008</x:v>
      </x:c>
      <x:c r="B49" t="str">
        <x:v>Architekt Pustki</x:v>
      </x:c>
      <x:c r="C49" t="n">
        <x:v>18</x:v>
      </x:c>
      <x:c r="D49" t="n">
        <x:f>Archetypy!D9+INT((C49-3)/3)</x:f>
        <x:v>8</x:v>
      </x:c>
      <x:c r="E49" t="n">
        <x:f>C49+8-D49</x:f>
        <x:v>18</x:v>
      </x:c>
      <x:c r="F49" t="n">
        <x:f>D49+E49</x:f>
        <x:v>26</x:v>
      </x:c>
      <x:c r="G49" t="n">
        <x:f>C49+8</x:f>
        <x:v>26</x:v>
      </x:c>
    </x:row>
    <x:row r="50">
      <x:c r="A50" t="str">
        <x:v>A009</x:v>
      </x:c>
      <x:c r="B50" t="str">
        <x:v>Złodziej Wspomnień</x:v>
      </x:c>
      <x:c r="C50" t="n">
        <x:v>3</x:v>
      </x:c>
      <x:c r="D50" t="n">
        <x:f>Archetypy!D10+INT((C50-3)/3)</x:f>
        <x:v>2</x:v>
      </x:c>
      <x:c r="E50" t="n">
        <x:f>C50+8-D50</x:f>
        <x:v>9</x:v>
      </x:c>
      <x:c r="F50" t="n">
        <x:f>D50+E50</x:f>
        <x:v>11</x:v>
      </x:c>
      <x:c r="G50" t="n">
        <x:f>C50+8</x:f>
        <x:v>11</x:v>
      </x:c>
    </x:row>
    <x:row r="51">
      <x:c r="A51" t="str">
        <x:v>A009</x:v>
      </x:c>
      <x:c r="B51" t="str">
        <x:v>Złodziej Wspomnień</x:v>
      </x:c>
      <x:c r="C51" t="n">
        <x:v>6</x:v>
      </x:c>
      <x:c r="D51" t="n">
        <x:f>Archetypy!D10+INT((C51-3)/3)</x:f>
        <x:v>3</x:v>
      </x:c>
      <x:c r="E51" t="n">
        <x:f>C51+8-D51</x:f>
        <x:v>11</x:v>
      </x:c>
      <x:c r="F51" t="n">
        <x:f>D51+E51</x:f>
        <x:v>14</x:v>
      </x:c>
      <x:c r="G51" t="n">
        <x:f>C51+8</x:f>
        <x:v>14</x:v>
      </x:c>
    </x:row>
    <x:row r="52">
      <x:c r="A52" t="str">
        <x:v>A009</x:v>
      </x:c>
      <x:c r="B52" t="str">
        <x:v>Złodziej Wspomnień</x:v>
      </x:c>
      <x:c r="C52" t="n">
        <x:v>9</x:v>
      </x:c>
      <x:c r="D52" t="n">
        <x:f>Archetypy!D10+INT((C52-3)/3)</x:f>
        <x:v>4</x:v>
      </x:c>
      <x:c r="E52" t="n">
        <x:f>C52+8-D52</x:f>
        <x:v>13</x:v>
      </x:c>
      <x:c r="F52" t="n">
        <x:f>D52+E52</x:f>
        <x:v>17</x:v>
      </x:c>
      <x:c r="G52" t="n">
        <x:f>C52+8</x:f>
        <x:v>17</x:v>
      </x:c>
    </x:row>
    <x:row r="53">
      <x:c r="A53" t="str">
        <x:v>A009</x:v>
      </x:c>
      <x:c r="B53" t="str">
        <x:v>Złodziej Wspomnień</x:v>
      </x:c>
      <x:c r="C53" t="n">
        <x:v>12</x:v>
      </x:c>
      <x:c r="D53" t="n">
        <x:f>Archetypy!D10+INT((C53-3)/3)</x:f>
        <x:v>5</x:v>
      </x:c>
      <x:c r="E53" t="n">
        <x:f>C53+8-D53</x:f>
        <x:v>15</x:v>
      </x:c>
      <x:c r="F53" t="n">
        <x:f>D53+E53</x:f>
        <x:v>20</x:v>
      </x:c>
      <x:c r="G53" t="n">
        <x:f>C53+8</x:f>
        <x:v>20</x:v>
      </x:c>
    </x:row>
    <x:row r="54">
      <x:c r="A54" t="str">
        <x:v>A009</x:v>
      </x:c>
      <x:c r="B54" t="str">
        <x:v>Złodziej Wspomnień</x:v>
      </x:c>
      <x:c r="C54" t="n">
        <x:v>15</x:v>
      </x:c>
      <x:c r="D54" t="n">
        <x:f>Archetypy!D10+INT((C54-3)/3)</x:f>
        <x:v>6</x:v>
      </x:c>
      <x:c r="E54" t="n">
        <x:f>C54+8-D54</x:f>
        <x:v>17</x:v>
      </x:c>
      <x:c r="F54" t="n">
        <x:f>D54+E54</x:f>
        <x:v>23</x:v>
      </x:c>
      <x:c r="G54" t="n">
        <x:f>C54+8</x:f>
        <x:v>23</x:v>
      </x:c>
    </x:row>
    <x:row r="55">
      <x:c r="A55" t="str">
        <x:v>A009</x:v>
      </x:c>
      <x:c r="B55" t="str">
        <x:v>Złodziej Wspomnień</x:v>
      </x:c>
      <x:c r="C55" t="n">
        <x:v>18</x:v>
      </x:c>
      <x:c r="D55" t="n">
        <x:f>Archetypy!D10+INT((C55-3)/3)</x:f>
        <x:v>7</x:v>
      </x:c>
      <x:c r="E55" t="n">
        <x:f>C55+8-D55</x:f>
        <x:v>19</x:v>
      </x:c>
      <x:c r="F55" t="n">
        <x:f>D55+E55</x:f>
        <x:v>26</x:v>
      </x:c>
      <x:c r="G55" t="n">
        <x:f>C55+8</x:f>
        <x:v>26</x:v>
      </x:c>
    </x:row>
    <x:row r="56">
      <x:c r="A56" t="str">
        <x:v>A010</x:v>
      </x:c>
      <x:c r="B56" t="str">
        <x:v>Królowa Tysiąca Twarzy</x:v>
      </x:c>
      <x:c r="C56" t="n">
        <x:v>3</x:v>
      </x:c>
      <x:c r="D56" t="n">
        <x:f>Archetypy!D11+INT((C56-3)/3)</x:f>
        <x:v>4</x:v>
      </x:c>
      <x:c r="E56" t="n">
        <x:f>C56+8-D56</x:f>
        <x:v>7</x:v>
      </x:c>
      <x:c r="F56" t="n">
        <x:f>D56+E56</x:f>
        <x:v>11</x:v>
      </x:c>
      <x:c r="G56" t="n">
        <x:f>C56+8</x:f>
        <x:v>11</x:v>
      </x:c>
    </x:row>
    <x:row r="57">
      <x:c r="A57" t="str">
        <x:v>A010</x:v>
      </x:c>
      <x:c r="B57" t="str">
        <x:v>Królowa Tysiąca Twarzy</x:v>
      </x:c>
      <x:c r="C57" t="n">
        <x:v>6</x:v>
      </x:c>
      <x:c r="D57" t="n">
        <x:f>Archetypy!D11+INT((C57-3)/3)</x:f>
        <x:v>5</x:v>
      </x:c>
      <x:c r="E57" t="n">
        <x:f>C57+8-D57</x:f>
        <x:v>9</x:v>
      </x:c>
      <x:c r="F57" t="n">
        <x:f>D57+E57</x:f>
        <x:v>14</x:v>
      </x:c>
      <x:c r="G57" t="n">
        <x:f>C57+8</x:f>
        <x:v>14</x:v>
      </x:c>
    </x:row>
    <x:row r="58">
      <x:c r="A58" t="str">
        <x:v>A010</x:v>
      </x:c>
      <x:c r="B58" t="str">
        <x:v>Królowa Tysiąca Twarzy</x:v>
      </x:c>
      <x:c r="C58" t="n">
        <x:v>9</x:v>
      </x:c>
      <x:c r="D58" t="n">
        <x:f>Archetypy!D11+INT((C58-3)/3)</x:f>
        <x:v>6</x:v>
      </x:c>
      <x:c r="E58" t="n">
        <x:f>C58+8-D58</x:f>
        <x:v>11</x:v>
      </x:c>
      <x:c r="F58" t="n">
        <x:f>D58+E58</x:f>
        <x:v>17</x:v>
      </x:c>
      <x:c r="G58" t="n">
        <x:f>C58+8</x:f>
        <x:v>17</x:v>
      </x:c>
    </x:row>
    <x:row r="59">
      <x:c r="A59" t="str">
        <x:v>A010</x:v>
      </x:c>
      <x:c r="B59" t="str">
        <x:v>Królowa Tysiąca Twarzy</x:v>
      </x:c>
      <x:c r="C59" t="n">
        <x:v>12</x:v>
      </x:c>
      <x:c r="D59" t="n">
        <x:f>Archetypy!D11+INT((C59-3)/3)</x:f>
        <x:v>7</x:v>
      </x:c>
      <x:c r="E59" t="n">
        <x:f>C59+8-D59</x:f>
        <x:v>13</x:v>
      </x:c>
      <x:c r="F59" t="n">
        <x:f>D59+E59</x:f>
        <x:v>20</x:v>
      </x:c>
      <x:c r="G59" t="n">
        <x:f>C59+8</x:f>
        <x:v>20</x:v>
      </x:c>
    </x:row>
    <x:row r="60">
      <x:c r="A60" t="str">
        <x:v>A010</x:v>
      </x:c>
      <x:c r="B60" t="str">
        <x:v>Królowa Tysiąca Twarzy</x:v>
      </x:c>
      <x:c r="C60" t="n">
        <x:v>15</x:v>
      </x:c>
      <x:c r="D60" t="n">
        <x:f>Archetypy!D11+INT((C60-3)/3)</x:f>
        <x:v>8</x:v>
      </x:c>
      <x:c r="E60" t="n">
        <x:f>C60+8-D60</x:f>
        <x:v>15</x:v>
      </x:c>
      <x:c r="F60" t="n">
        <x:f>D60+E60</x:f>
        <x:v>23</x:v>
      </x:c>
      <x:c r="G60" t="n">
        <x:f>C60+8</x:f>
        <x:v>23</x:v>
      </x:c>
    </x:row>
    <x:row r="61">
      <x:c r="A61" t="str">
        <x:v>A010</x:v>
      </x:c>
      <x:c r="B61" t="str">
        <x:v>Królowa Tysiąca Twarzy</x:v>
      </x:c>
      <x:c r="C61" t="n">
        <x:v>18</x:v>
      </x:c>
      <x:c r="D61" t="n">
        <x:f>Archetypy!D11+INT((C61-3)/3)</x:f>
        <x:v>9</x:v>
      </x:c>
      <x:c r="E61" t="n">
        <x:f>C61+8-D61</x:f>
        <x:v>17</x:v>
      </x:c>
      <x:c r="F61" t="n">
        <x:f>D61+E61</x:f>
        <x:v>26</x:v>
      </x:c>
      <x:c r="G61" t="n">
        <x:f>C61+8</x:f>
        <x:v>26</x:v>
      </x:c>
    </x:row>
    <x:row r="62">
      <x:c r="A62" t="str">
        <x:v>A011</x:v>
      </x:c>
      <x:c r="B62" t="str">
        <x:v>Jeździec Czarnej Komety</x:v>
      </x:c>
      <x:c r="C62" t="n">
        <x:v>3</x:v>
      </x:c>
      <x:c r="D62" t="n">
        <x:f>Archetypy!D12+INT((C62-3)/3)</x:f>
        <x:v>6</x:v>
      </x:c>
      <x:c r="E62" t="n">
        <x:f>C62+8-D62</x:f>
        <x:v>5</x:v>
      </x:c>
      <x:c r="F62" t="n">
        <x:f>D62+E62</x:f>
        <x:v>11</x:v>
      </x:c>
      <x:c r="G62" t="n">
        <x:f>C62+8</x:f>
        <x:v>11</x:v>
      </x:c>
    </x:row>
    <x:row r="63">
      <x:c r="A63" t="str">
        <x:v>A011</x:v>
      </x:c>
      <x:c r="B63" t="str">
        <x:v>Jeździec Czarnej Komety</x:v>
      </x:c>
      <x:c r="C63" t="n">
        <x:v>6</x:v>
      </x:c>
      <x:c r="D63" t="n">
        <x:f>Archetypy!D12+INT((C63-3)/3)</x:f>
        <x:v>7</x:v>
      </x:c>
      <x:c r="E63" t="n">
        <x:f>C63+8-D63</x:f>
        <x:v>7</x:v>
      </x:c>
      <x:c r="F63" t="n">
        <x:f>D63+E63</x:f>
        <x:v>14</x:v>
      </x:c>
      <x:c r="G63" t="n">
        <x:f>C63+8</x:f>
        <x:v>14</x:v>
      </x:c>
    </x:row>
    <x:row r="64">
      <x:c r="A64" t="str">
        <x:v>A011</x:v>
      </x:c>
      <x:c r="B64" t="str">
        <x:v>Jeździec Czarnej Komety</x:v>
      </x:c>
      <x:c r="C64" t="n">
        <x:v>9</x:v>
      </x:c>
      <x:c r="D64" t="n">
        <x:f>Archetypy!D12+INT((C64-3)/3)</x:f>
        <x:v>8</x:v>
      </x:c>
      <x:c r="E64" t="n">
        <x:f>C64+8-D64</x:f>
        <x:v>9</x:v>
      </x:c>
      <x:c r="F64" t="n">
        <x:f>D64+E64</x:f>
        <x:v>17</x:v>
      </x:c>
      <x:c r="G64" t="n">
        <x:f>C64+8</x:f>
        <x:v>17</x:v>
      </x:c>
    </x:row>
    <x:row r="65">
      <x:c r="A65" t="str">
        <x:v>A011</x:v>
      </x:c>
      <x:c r="B65" t="str">
        <x:v>Jeździec Czarnej Komety</x:v>
      </x:c>
      <x:c r="C65" t="n">
        <x:v>12</x:v>
      </x:c>
      <x:c r="D65" t="n">
        <x:f>Archetypy!D12+INT((C65-3)/3)</x:f>
        <x:v>9</x:v>
      </x:c>
      <x:c r="E65" t="n">
        <x:f>C65+8-D65</x:f>
        <x:v>11</x:v>
      </x:c>
      <x:c r="F65" t="n">
        <x:f>D65+E65</x:f>
        <x:v>20</x:v>
      </x:c>
      <x:c r="G65" t="n">
        <x:f>C65+8</x:f>
        <x:v>20</x:v>
      </x:c>
    </x:row>
    <x:row r="66">
      <x:c r="A66" t="str">
        <x:v>A011</x:v>
      </x:c>
      <x:c r="B66" t="str">
        <x:v>Jeździec Czarnej Komety</x:v>
      </x:c>
      <x:c r="C66" t="n">
        <x:v>15</x:v>
      </x:c>
      <x:c r="D66" t="n">
        <x:f>Archetypy!D12+INT((C66-3)/3)</x:f>
        <x:v>10</x:v>
      </x:c>
      <x:c r="E66" t="n">
        <x:f>C66+8-D66</x:f>
        <x:v>13</x:v>
      </x:c>
      <x:c r="F66" t="n">
        <x:f>D66+E66</x:f>
        <x:v>23</x:v>
      </x:c>
      <x:c r="G66" t="n">
        <x:f>C66+8</x:f>
        <x:v>23</x:v>
      </x:c>
    </x:row>
    <x:row r="67">
      <x:c r="A67" t="str">
        <x:v>A011</x:v>
      </x:c>
      <x:c r="B67" t="str">
        <x:v>Jeździec Czarnej Komety</x:v>
      </x:c>
      <x:c r="C67" t="n">
        <x:v>18</x:v>
      </x:c>
      <x:c r="D67" t="n">
        <x:f>Archetypy!D12+INT((C67-3)/3)</x:f>
        <x:v>11</x:v>
      </x:c>
      <x:c r="E67" t="n">
        <x:f>C67+8-D67</x:f>
        <x:v>15</x:v>
      </x:c>
      <x:c r="F67" t="n">
        <x:f>D67+E67</x:f>
        <x:v>26</x:v>
      </x:c>
      <x:c r="G67" t="n">
        <x:f>C67+8</x:f>
        <x:v>26</x:v>
      </x:c>
    </x:row>
    <x:row r="68">
      <x:c r="A68" t="str">
        <x:v>A012</x:v>
      </x:c>
      <x:c r="B68" t="str">
        <x:v>Tkaczka Drugiego Losu</x:v>
      </x:c>
      <x:c r="C68" t="n">
        <x:v>3</x:v>
      </x:c>
      <x:c r="D68" t="n">
        <x:f>Archetypy!D13+INT((C68-3)/3)</x:f>
        <x:v>3</x:v>
      </x:c>
      <x:c r="E68" t="n">
        <x:f>C68+8-D68</x:f>
        <x:v>8</x:v>
      </x:c>
      <x:c r="F68" t="n">
        <x:f>D68+E68</x:f>
        <x:v>11</x:v>
      </x:c>
      <x:c r="G68" t="n">
        <x:f>C68+8</x:f>
        <x:v>11</x:v>
      </x:c>
    </x:row>
    <x:row r="69">
      <x:c r="A69" t="str">
        <x:v>A012</x:v>
      </x:c>
      <x:c r="B69" t="str">
        <x:v>Tkaczka Drugiego Losu</x:v>
      </x:c>
      <x:c r="C69" t="n">
        <x:v>6</x:v>
      </x:c>
      <x:c r="D69" t="n">
        <x:f>Archetypy!D13+INT((C69-3)/3)</x:f>
        <x:v>4</x:v>
      </x:c>
      <x:c r="E69" t="n">
        <x:f>C69+8-D69</x:f>
        <x:v>10</x:v>
      </x:c>
      <x:c r="F69" t="n">
        <x:f>D69+E69</x:f>
        <x:v>14</x:v>
      </x:c>
      <x:c r="G69" t="n">
        <x:f>C69+8</x:f>
        <x:v>14</x:v>
      </x:c>
    </x:row>
    <x:row r="70">
      <x:c r="A70" t="str">
        <x:v>A012</x:v>
      </x:c>
      <x:c r="B70" t="str">
        <x:v>Tkaczka Drugiego Losu</x:v>
      </x:c>
      <x:c r="C70" t="n">
        <x:v>9</x:v>
      </x:c>
      <x:c r="D70" t="n">
        <x:f>Archetypy!D13+INT((C70-3)/3)</x:f>
        <x:v>5</x:v>
      </x:c>
      <x:c r="E70" t="n">
        <x:f>C70+8-D70</x:f>
        <x:v>12</x:v>
      </x:c>
      <x:c r="F70" t="n">
        <x:f>D70+E70</x:f>
        <x:v>17</x:v>
      </x:c>
      <x:c r="G70" t="n">
        <x:f>C70+8</x:f>
        <x:v>17</x:v>
      </x:c>
    </x:row>
    <x:row r="71">
      <x:c r="A71" t="str">
        <x:v>A012</x:v>
      </x:c>
      <x:c r="B71" t="str">
        <x:v>Tkaczka Drugiego Losu</x:v>
      </x:c>
      <x:c r="C71" t="n">
        <x:v>12</x:v>
      </x:c>
      <x:c r="D71" t="n">
        <x:f>Archetypy!D13+INT((C71-3)/3)</x:f>
        <x:v>6</x:v>
      </x:c>
      <x:c r="E71" t="n">
        <x:f>C71+8-D71</x:f>
        <x:v>14</x:v>
      </x:c>
      <x:c r="F71" t="n">
        <x:f>D71+E71</x:f>
        <x:v>20</x:v>
      </x:c>
      <x:c r="G71" t="n">
        <x:f>C71+8</x:f>
        <x:v>20</x:v>
      </x:c>
    </x:row>
    <x:row r="72">
      <x:c r="A72" t="str">
        <x:v>A012</x:v>
      </x:c>
      <x:c r="B72" t="str">
        <x:v>Tkaczka Drugiego Losu</x:v>
      </x:c>
      <x:c r="C72" t="n">
        <x:v>15</x:v>
      </x:c>
      <x:c r="D72" t="n">
        <x:f>Archetypy!D13+INT((C72-3)/3)</x:f>
        <x:v>7</x:v>
      </x:c>
      <x:c r="E72" t="n">
        <x:f>C72+8-D72</x:f>
        <x:v>16</x:v>
      </x:c>
      <x:c r="F72" t="n">
        <x:f>D72+E72</x:f>
        <x:v>23</x:v>
      </x:c>
      <x:c r="G72" t="n">
        <x:f>C72+8</x:f>
        <x:v>23</x:v>
      </x:c>
    </x:row>
    <x:row r="73">
      <x:c r="A73" t="str">
        <x:v>A012</x:v>
      </x:c>
      <x:c r="B73" t="str">
        <x:v>Tkaczka Drugiego Losu</x:v>
      </x:c>
      <x:c r="C73" t="n">
        <x:v>18</x:v>
      </x:c>
      <x:c r="D73" t="n">
        <x:f>Archetypy!D13+INT((C73-3)/3)</x:f>
        <x:v>8</x:v>
      </x:c>
      <x:c r="E73" t="n">
        <x:f>C73+8-D73</x:f>
        <x:v>18</x:v>
      </x:c>
      <x:c r="F73" t="n">
        <x:f>D73+E73</x:f>
        <x:v>26</x:v>
      </x:c>
      <x:c r="G73" t="n">
        <x:f>C73+8</x:f>
        <x:v>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2" hidden="0" customWidth="1"/>
  </x:cols>
  <x:sheetData>
    <x:row r="1" ht="30" customHeight="1">
      <x:c r="A1" s="3" t="str">
        <x:v>Zasada</x:v>
      </x:c>
      <x:c r="B1" s="3" t="str">
        <x:v>Wartość</x:v>
      </x:c>
    </x:row>
    <x:row r="2">
      <x:c r="A2" t="str">
        <x:v>Status</x:v>
      </x:c>
      <x:c r="B2" t="str">
        <x:v>DRAFT, nie wdrożone w GitHub</x:v>
      </x:c>
    </x:row>
    <x:row r="3">
      <x:c r="A3" t="str">
        <x:v>Po rundach</x:v>
      </x:c>
      <x:c r="B3" t="str">
        <x:v>3,6,9 ...</x:v>
      </x:c>
    </x:row>
    <x:row r="4">
      <x:c r="A4" t="str">
        <x:v>Oferty</x:v>
      </x:c>
      <x:c r="B4" t="str">
        <x:v>3 różne karty, NIE są zagrywane</x:v>
      </x:c>
    </x:row>
    <x:row r="5">
      <x:c r="A5" t="str">
        <x:v>Przydział</x:v>
      </x:c>
      <x:c r="B5" t="str">
        <x:v>1 kupiona (zwycięzca), 1 darmowa (przegrywający), 1 do puli</x:v>
      </x:c>
    </x:row>
    <x:row r="6">
      <x:c r="A6" t="str">
        <x:v>Na rękę</x:v>
      </x:c>
      <x:c r="B6" t="str">
        <x:v>Tak; obaj gracze otrzymują tylko po jednej karcie</x:v>
      </x:c>
    </x:row>
    <x:row r="7">
      <x:c r="A7" t="str">
        <x:v>Wystawienie</x:v>
      </x:c>
      <x:c r="B7" t="str">
        <x:v>Maksymalnie jedna zwykła karta na własną turę</x:v>
      </x:c>
    </x:row>
    <x:row r="8">
      <x:c r="A8" t="str">
        <x:v>Plansza</x:v>
      </x:c>
      <x:c r="B8" t="str">
        <x:v>Maksymalnie 5 jednostek</x:v>
      </x:c>
    </x:row>
    <x:row r="9">
      <x:c r="A9" t="str">
        <x:v>Suma</x:v>
      </x:c>
      <x:c r="B9" t="str">
        <x:v>ATK+MAX_HP = numer rundy zakupu + 8</x:v>
      </x:c>
    </x:row>
    <x:row r="10">
      <x:c r="A10" t="str">
        <x:v>Statystyki po zakupie</x:v>
      </x:c>
      <x:c r="B10" t="str">
        <x:v>Zamrożone</x:v>
      </x:c>
    </x:row>
    <x:row r="11">
      <x:c r="A11" t="str">
        <x:v>Ewolucja</x:v>
      </x:c>
      <x:c r="B11" t="str">
        <x:v>Co 3 pełne rundy od zakupu, do legendarnej</x:v>
      </x:c>
    </x:row>
    <x:row r="12">
      <x:c r="A12" t="str">
        <x:v>Testy</x:v>
      </x:c>
      <x:c r="B12" t="str">
        <x:v>35/35 izolowanych</x:v>
      </x:c>
    </x:row>
    <x:row r="13">
      <x:c r="A13" t="str">
        <x:v>Prób ofert</x:v>
      </x:c>
      <x:c r="B13" t="str">
        <x:v>100 000, bez mechaniki walki</x:v>
      </x:c>
    </x:row>
    <x:row r="14">
      <x:c r="A14" t="str">
        <x:v>Synergia A002+A004+A010</x:v>
      </x:c>
      <x:c r="B14" t="str">
        <x:v>8,882% górna granica dopuszczalności w 3 aukcjach</x:v>
      </x:c>
    </x:row>
    <x:row r="15">
      <x:c r="A15" t="str">
        <x:v>Efekty</x:v>
      </x:c>
      <x:c r="B15" t="str">
        <x:v>36/36 zachowane z v3</x:v>
      </x:c>
    </x:row>
    <x:row r="16">
      <x:c r="A16" t="str">
        <x:v>Bilans</x:v>
      </x:c>
      <x:c r="B16" t="str">
        <x:v>5 eksperymentalnych przesunięć ATK/HP</x:v>
      </x:c>
    </x:row>
  </x:sheetData>
  <x:pageMargins left="0.7" right="0.7" top="0.75" bottom="0.75" header="0.3" footer="0.3"/>
</x:worksheet>
</file>